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lec\Downloads\"/>
    </mc:Choice>
  </mc:AlternateContent>
  <xr:revisionPtr revIDLastSave="0" documentId="8_{D34A5247-D7B1-4913-BC1B-40AB66016A28}" xr6:coauthVersionLast="47" xr6:coauthVersionMax="47" xr10:uidLastSave="{00000000-0000-0000-0000-000000000000}"/>
  <bookViews>
    <workbookView xWindow="-135" yWindow="-135" windowWidth="29070" windowHeight="15750" firstSheet="3" activeTab="3" xr2:uid="{00000000-000D-0000-FFFF-FFFF00000000}"/>
  </bookViews>
  <sheets>
    <sheet name="Ordered_data" sheetId="1" state="hidden" r:id="rId1"/>
    <sheet name="Tables" sheetId="9" state="hidden" r:id="rId2"/>
    <sheet name="User_form" sheetId="10" state="hidden" r:id="rId3"/>
    <sheet name="UserForm" sheetId="12" r:id="rId4"/>
    <sheet name="Cleansed_data" sheetId="11" r:id="rId5"/>
  </sheets>
  <definedNames>
    <definedName name="Tak">Tables!$B$135:$B$136</definedName>
    <definedName name="Z01_ACCESS">Tables!$B$25</definedName>
    <definedName name="Z01_AWAY_FROM_HOME">Tables!$A$2:$A$5</definedName>
    <definedName name="Z01_CONVENIENCE_GAS">Tables!$AA$14:$AA$16</definedName>
    <definedName name="Z02_BUFFET">Tables!$J$216:$J$217</definedName>
    <definedName name="Z02_DISTRIBUTOR">Tables!$B$2:$B$9</definedName>
    <definedName name="Z02_FOBO">Tables!$E$14:$E$14</definedName>
    <definedName name="Z03_BAR">Tables!$K$216:$K$217</definedName>
    <definedName name="Z03_LARGE_FORMAT">Tables!$C$2:$C$10</definedName>
    <definedName name="Z03_RECREATION_RETAIL">Tables!$A$14:$A$22</definedName>
    <definedName name="Z04_CINEMA">Tables!$B$216:$B$217</definedName>
    <definedName name="Z04_COMAN">Tables!$V$14:$V$14</definedName>
    <definedName name="Z04_OTHER">Tables!$D$2:$D$6</definedName>
    <definedName name="Z05_COBO">Tables!$B$50:$B$50</definedName>
    <definedName name="Z05_CONVENIENCE_GAS_DIST">Tables!$F$14:$F$14</definedName>
    <definedName name="Z05_SMALL_FORMAT">Tables!$E$2:$E$7</definedName>
    <definedName name="Z06_CASH_CARRY">Tables!$AG$14:$AG$14</definedName>
    <definedName name="Z06_COMAN">Tables!$B$71:$B$71</definedName>
    <definedName name="Z06_WHOLESALE">Tables!$F$2:$F$3</definedName>
    <definedName name="Z07_CAFETERIA">Tables!$L$216:$L$217</definedName>
    <definedName name="Z07_CONCIERGE">Tables!$AI$14:$AI$16</definedName>
    <definedName name="Z07_E_COMMERCE">Tables!$G$2:$G$5</definedName>
    <definedName name="Z08_CASH_CARRY">Tables!$B$93:$B$93</definedName>
    <definedName name="Z08_SMALL_DISCOUNTER">Tables!$AB$14:$AB$14</definedName>
    <definedName name="Z08_TRADITIONAL_TRADE">Tables!$H$2:$H$5</definedName>
    <definedName name="Z09_COBO">Tables!$G$14:$G$14</definedName>
    <definedName name="Z0A_TT_GOODS_SERVICES">Tables!$CE$216:$CE$220</definedName>
    <definedName name="Z0C_CHAIN_CONV_GAS">Tables!$B$77:$B$77</definedName>
    <definedName name="Z0D_LOCAL_CONV_GAS">Tables!$B$78:$B$78</definedName>
    <definedName name="Z0E_IBS_LOCAL_CONV_GAS">Tables!$B$86:$B$86</definedName>
    <definedName name="Z0G_OMNI_AFH">Tables!$B$101:$B$101</definedName>
    <definedName name="Z0H_OMNI_GROCERY_MASS">Tables!$B$102:$B$102</definedName>
    <definedName name="Z0I_OMNI_CONV">Tables!$B$103:$B$103</definedName>
    <definedName name="Z10_DRUG_PHARMACY">Tables!$AC$14:$AC$14</definedName>
    <definedName name="Z11_CONVENTIONAL">Tables!$BR$216:$BR$217</definedName>
    <definedName name="Z11_DEPT_STORE">Tables!$M$14:$M$14</definedName>
    <definedName name="Z12_CONV_GAS_DIST">Tables!$B$49:$B$49</definedName>
    <definedName name="Z12_DELI">Tables!$N$14:$N$14</definedName>
    <definedName name="Z13_EXPORT">Tables!$W$14:$W$14</definedName>
    <definedName name="Z14_DIRECT_VENDING">Tables!$B$41:$B$41</definedName>
    <definedName name="Z14_EMPLOYEE_SALES">Tables!$X$14:$X$14</definedName>
    <definedName name="Z15_DOMESTIC">Tables!$B$74:$B$74</definedName>
    <definedName name="Z15_FREEZER_STORE">Tables!$O$14:$O$14</definedName>
    <definedName name="Z16_DRUG_PHARMACY">Tables!$B$81:$B$81</definedName>
    <definedName name="Z16_GROCERY">Tables!$P$14:$P$14</definedName>
    <definedName name="Z17_DEPT_STORE">Tables!$B$60:$B$60</definedName>
    <definedName name="Z17_GROCERY_DIST">Tables!$H$14:$H$14</definedName>
    <definedName name="Z18_DELI">Tables!$B$61:$B$61</definedName>
    <definedName name="Z18_INTERCO">Tables!$Y$14:$Y$15</definedName>
    <definedName name="Z19_DAIRY">Tables!$B$54:$B$54</definedName>
    <definedName name="Z19_HYPER_SUPER_CENTER">Tables!$Q$14:$Q$15</definedName>
    <definedName name="Z20_EDUCATION">Tables!$S$216:$S$221</definedName>
    <definedName name="Z20_MILITARY_GOVT">Tables!$R$14:$R$15</definedName>
    <definedName name="Z21_EXPORT">Tables!$B$72:$B$72</definedName>
    <definedName name="Z21_MULTIFORMAT">Tables!$S$14:$S$14</definedName>
    <definedName name="Z22_EMPLOYEE_SALES">Tables!$B$73:$B$73</definedName>
    <definedName name="Z22_MULTIFORMAT_DIST">Tables!$I$14:$I$14</definedName>
    <definedName name="Z23_FOBO">Tables!$B$48:$B$48</definedName>
    <definedName name="Z23_NATURAL_DIST">Tables!$J$14:$J$14</definedName>
    <definedName name="Z24_FOOD_SERVICE_DIST">Tables!$B$59:$B$59</definedName>
    <definedName name="Z24_RESTAURANT">Tables!$B$14:$B$20</definedName>
    <definedName name="Z25_FSR_FULL_SERV_REST">Tables!$M$216:$M$217</definedName>
    <definedName name="Z25_SPECIALTY_DIST">Tables!$K$14:$K$18</definedName>
    <definedName name="Z26_FREEZER_STORE">Tables!$B$62:$B$62</definedName>
    <definedName name="Z26_SF_GROCERY">Tables!$AD$14:$AD$17</definedName>
    <definedName name="Z27_IBS">Tables!$AE$14:$AE$19</definedName>
    <definedName name="Z28_GOVT">Tables!$B$66:$B$66</definedName>
    <definedName name="Z28_VENDING">Tables!$C$14:$C$15</definedName>
    <definedName name="Z29_GOODS_SERVICES">Tables!$BK$216:$BK$221</definedName>
    <definedName name="Z29_WORKPLACE">Tables!$D$14:$D$18</definedName>
    <definedName name="Z30_GROCERY">Tables!$AM$216:$AM$217</definedName>
    <definedName name="Z30_WHOLESALE_CLUB">Tables!$T$14:$T$14</definedName>
    <definedName name="Z31_GROCERY_DIST">Tables!$B$51:$B$51</definedName>
    <definedName name="Z31_WHOLESALE_CONV">Tables!$AH$14:$AH$14</definedName>
    <definedName name="Z32_FOOD_SERVICE_DIST">Tables!$L$14:$L$14</definedName>
    <definedName name="Z33_SMALL_RETAIL_CLUB">Tables!$AF$14:$AF$14</definedName>
    <definedName name="Z34_HOTEL">Tables!$C$216:$C$219</definedName>
    <definedName name="Z34_MISC_SALES">Tables!$Z$14:$Z$14</definedName>
    <definedName name="Z35_INDUSTRIAL">Tables!$B$44:$B$44</definedName>
    <definedName name="Z36_INSTITUTION">Tables!$U$216:$U$218</definedName>
    <definedName name="Z36_LARGE_DISCOUNTER">Tables!$U$14:$U$14</definedName>
    <definedName name="Z37_DTC">Tables!$AJ$14:$AJ$15</definedName>
    <definedName name="Z37_INDIRECT_VENDING">Tables!$B$42:$B$42</definedName>
    <definedName name="Z38_KIOSK">Tables!$B$88:$B$88</definedName>
    <definedName name="Z38_PURE_PLAY">Tables!$AK$14:$AK$14</definedName>
    <definedName name="Z39_LSR_LTD_SERV_REST">Tables!$N$216:$N$217</definedName>
    <definedName name="Z40_MASS_MERCHANDISER">Tables!$B$64:$B$64</definedName>
    <definedName name="Z40_OMNI">Tables!$AL$14:$AL$16</definedName>
    <definedName name="Z41_MULTIFORMAT">Tables!$B$68:$B$68</definedName>
    <definedName name="Z42_MILITARY_GOVT">Tables!$D$216:$D$217</definedName>
    <definedName name="Z43_MINI_MARKET">Tables!$B$89:$B$89</definedName>
    <definedName name="Z44_MULTIFORMAT_DIST">Tables!$B$52:$B$52</definedName>
    <definedName name="Z44_TT_CONV_GAS">Tables!$AM$14:$AM$14</definedName>
    <definedName name="Z45_NATURAL_DIST">Tables!$B$53:$B$53</definedName>
    <definedName name="Z45_TT_DRUG_PHARMACY">Tables!$AN$14:$AN$14</definedName>
    <definedName name="Z46_OCCUPATIONAL">Tables!$B$55:$B$55</definedName>
    <definedName name="Z46_TT_GROCERY">Tables!$AO$14:$AO$14</definedName>
    <definedName name="Z47_PIZZERIA">Tables!$O$216:$O$217</definedName>
    <definedName name="Z47_TT_IBS">Tables!$AP$14:$AP$20</definedName>
    <definedName name="Z48_RETAIL_MILITARY">Tables!$B$67:$B$67</definedName>
    <definedName name="Z49_RECREATION_RETAIL">Tables!$E$216:$E$224</definedName>
    <definedName name="Z50_RETAIL_CLUB">Tables!$B$69:$B$69</definedName>
    <definedName name="Z51_QSR_LTD_SERV_REST">Tables!$P$216:$P$217</definedName>
    <definedName name="Z53_SUPERCENTER">Tables!$B$65:$B$65</definedName>
    <definedName name="Z54_SPORTS_ENTERTAINMENT">Tables!$F$216:$F$218</definedName>
    <definedName name="Z55_SPECIAL_EVENTS">Tables!$B$31:$B$31</definedName>
    <definedName name="Z56_SPECIALTY">Tables!$BN$216:$BN$223</definedName>
    <definedName name="Z57_SPECIALTY_DIST">Tables!$B$56:$B$56</definedName>
    <definedName name="Z58_SMALL_GROCERY">Tables!$BF$216:$BF$217</definedName>
    <definedName name="Z59_TRANSPORT_TRAVEL">Tables!$H$216:$H$218</definedName>
    <definedName name="Z60_VALUE_PRICED">Tables!$B$80:$B$80</definedName>
    <definedName name="Z61_TRAVEL_SERVICES">Tables!$B$79:$B$79</definedName>
    <definedName name="Z62_TT_GROCERY">Tables!$CD$216:$CD$219</definedName>
    <definedName name="Z63_VENDING">Tables!$B$57:$B$57</definedName>
    <definedName name="Z64_3RD_P_SERV_OP">Tables!$B$46:$B$46</definedName>
    <definedName name="Z65_IBS_DRUG_PHARMACY">Tables!$BO$216:$BO$218</definedName>
    <definedName name="Z66_SMALL_RETAIL_CLUB">Tables!$B$92:$B$92</definedName>
    <definedName name="Z67_WORKPLACE_VENDING">Tables!$B$47:$B$47</definedName>
    <definedName name="Z69_MISC_SALES">Tables!$AZ$216:$AZ$217</definedName>
    <definedName name="Z70_PURE_PLAY">Tables!$BX$216:$BX$217</definedName>
    <definedName name="Z71_MILITARY_GOVT_DIST">Tables!$B$58:$B$58</definedName>
    <definedName name="Z73_INTERCO_EXPORT">Tables!$B$75:$B$75</definedName>
    <definedName name="Z74_CONCIERGE_GROCERY">Tables!$B$95:$B$95</definedName>
    <definedName name="Z75_CONCIERGE_AFH">Tables!$B$96:$B$96</definedName>
    <definedName name="Z76_SOCIAL_COMMERCE">Tables!$B$98:$B$98</definedName>
    <definedName name="Z79_TT_WHOLESALER">Tables!$B$108:$B$108</definedName>
    <definedName name="Z81_GAMING_CASINO">Tables!$B$33:$B$33</definedName>
    <definedName name="Z85_TT_CONV_GAS">Tables!$CB$216:$CB$217</definedName>
    <definedName name="Z86_TT_DRUG_PHARMACY">Tables!$CC$216:$CC$218</definedName>
    <definedName name="Z87_TT_SPECIALTY">Tables!$CG$216:$CG$224</definedName>
    <definedName name="Z88_LARGE_DISCOUNTER">Tables!$B$70:$B$70</definedName>
    <definedName name="Z89_TT_LIQUOR_STORE">Tables!$B$110:$B$110</definedName>
    <definedName name="Z90_TT_NATURAL">Tables!$B$111:$B$111</definedName>
    <definedName name="Z91_BRAND_OWNED">Tables!$B$99:$B$99</definedName>
    <definedName name="Z92_CONCIERGE_CONV">Tables!$B$97:$B$97</definedName>
    <definedName name="Z94_MEDIUM_GROCERY">Tables!$BG$216:$BG$217</definedName>
    <definedName name="Z95_LARGE_GROCERY">Tables!$BH$216:$BH$217</definedName>
    <definedName name="Z96_SF_GROCERY">Tables!$B$85:$B$85</definedName>
    <definedName name="Z97_TT_KIOSKS">Tables!$B$112:$B$112</definedName>
    <definedName name="Z98_TT_MINI_MARKET">Tables!$B$113:$B$113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11" l="1"/>
  <c r="J22" i="11"/>
  <c r="J23" i="11"/>
  <c r="J24" i="11"/>
  <c r="J25" i="11"/>
  <c r="J26" i="11"/>
  <c r="J20" i="11"/>
  <c r="J17" i="11"/>
  <c r="J18" i="11"/>
  <c r="J19" i="11"/>
  <c r="J15" i="11"/>
  <c r="J16" i="11"/>
  <c r="M14" i="11"/>
  <c r="J13" i="11"/>
  <c r="J14" i="11"/>
  <c r="J12" i="11"/>
  <c r="J11" i="11"/>
  <c r="J10" i="11"/>
  <c r="J9" i="11"/>
  <c r="J5" i="11"/>
  <c r="J6" i="11"/>
  <c r="J7" i="11"/>
  <c r="J8" i="11"/>
  <c r="J4" i="11"/>
  <c r="J3" i="11"/>
  <c r="M12" i="11"/>
  <c r="M11" i="11"/>
  <c r="M9" i="11"/>
  <c r="M5" i="11"/>
  <c r="M7" i="11"/>
  <c r="M15" i="11"/>
  <c r="M16" i="11"/>
  <c r="M17" i="11"/>
  <c r="M2" i="11"/>
  <c r="M3" i="11"/>
  <c r="M4" i="11"/>
  <c r="M6" i="11"/>
  <c r="M8" i="11"/>
  <c r="M10" i="11"/>
  <c r="M13" i="11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17" i="9"/>
</calcChain>
</file>

<file path=xl/sharedStrings.xml><?xml version="1.0" encoding="utf-8"?>
<sst xmlns="http://schemas.openxmlformats.org/spreadsheetml/2006/main" count="1251" uniqueCount="815">
  <si>
    <t>Z01-AWAY FROM HOME</t>
  </si>
  <si>
    <t>Z03-RECREATION&amp;RETAIL</t>
  </si>
  <si>
    <t>Z01-ACCESS</t>
  </si>
  <si>
    <t>Z03-ACCESS</t>
  </si>
  <si>
    <t>Z04-CINEMA</t>
  </si>
  <si>
    <t>Z0U-THEATRE</t>
  </si>
  <si>
    <t>Z61-MOVIE THEATER</t>
  </si>
  <si>
    <t>Z34-HOTEL</t>
  </si>
  <si>
    <t>Z08-CHAIN HOTELS</t>
  </si>
  <si>
    <t>Z18-CHAIN HOTEL CASINO</t>
  </si>
  <si>
    <t>Z44-LOCAL HOTELS</t>
  </si>
  <si>
    <t>Z58-LOCAL HOTEL CASINO</t>
  </si>
  <si>
    <t>Z42-MILITARY&amp;GOVT</t>
  </si>
  <si>
    <t>Z34-GOVT</t>
  </si>
  <si>
    <t>Z62-MILITARY&amp;GOVT AFH</t>
  </si>
  <si>
    <t>Z49-RECREATION&amp;RETAIL</t>
  </si>
  <si>
    <t>Z05-BOWLING</t>
  </si>
  <si>
    <t>Z0T-TENNIS&amp;RACQUET CLUB</t>
  </si>
  <si>
    <t>Z1N-AMUSEMENT</t>
  </si>
  <si>
    <t>Z1R-YOUTH SPORTS</t>
  </si>
  <si>
    <t>Z31-FITNESS CENTER</t>
  </si>
  <si>
    <t>Z32-GOLF</t>
  </si>
  <si>
    <t>Z74-RETAIL STORE</t>
  </si>
  <si>
    <t>Z83-SKI</t>
  </si>
  <si>
    <t>Z93-THEME PARK</t>
  </si>
  <si>
    <t>Z54-SPORTS&amp;ENTERTAINMENT</t>
  </si>
  <si>
    <t>Z04-ARENA</t>
  </si>
  <si>
    <t>Z2G-SF DISCO&amp;CLUB</t>
  </si>
  <si>
    <t>Z88-SPORTING</t>
  </si>
  <si>
    <t>Z55-SPECIAL EVENTS</t>
  </si>
  <si>
    <t>Z84-SPECIAL EVENTS</t>
  </si>
  <si>
    <t>Z59-TRANSPORT&amp;TRAVEL</t>
  </si>
  <si>
    <t>Z01-AIRLINE</t>
  </si>
  <si>
    <t>Z02-AIRPORT</t>
  </si>
  <si>
    <t>Z0A-TRAVEL</t>
  </si>
  <si>
    <t>Z81-GAMING&amp;CASINO</t>
  </si>
  <si>
    <t>Z33-GAMING&amp;CASINO</t>
  </si>
  <si>
    <t>Z24-RESTAURANT</t>
  </si>
  <si>
    <t>Z02-BUFFET</t>
  </si>
  <si>
    <t>Z09-CHAIN BUFFET</t>
  </si>
  <si>
    <t>Z45-LOCAL BUFFET</t>
  </si>
  <si>
    <t>Z03-BAR</t>
  </si>
  <si>
    <t>Z12-CHAIN BAR</t>
  </si>
  <si>
    <t>Z48-LOCAL BAR</t>
  </si>
  <si>
    <t>Z07-CAFETERIA</t>
  </si>
  <si>
    <t>Z11-CHAIN CAFETERIA</t>
  </si>
  <si>
    <t>Z47-LOCAL CAFETERIA</t>
  </si>
  <si>
    <t>Z25-FSR FULL SERV REST</t>
  </si>
  <si>
    <t>Z13-CHAIN FSR</t>
  </si>
  <si>
    <t>Z49-LOCAL FSR</t>
  </si>
  <si>
    <t>Z39-LSR LTD SERV REST</t>
  </si>
  <si>
    <t>Z15-CHAIN LSR</t>
  </si>
  <si>
    <t>Z52-LOCAL LSR</t>
  </si>
  <si>
    <t>Z47-PIZZERIA</t>
  </si>
  <si>
    <t>Z10-CHAIN PIZZERIA</t>
  </si>
  <si>
    <t>Z46-LOCAL PIZZERIA</t>
  </si>
  <si>
    <t>Z51-QSR LTD SERV REST</t>
  </si>
  <si>
    <t>Z14-CHAIN QSR</t>
  </si>
  <si>
    <t>Z50-LOCAL QSR</t>
  </si>
  <si>
    <t>Z28-VENDING</t>
  </si>
  <si>
    <t>Z14-DIRECT VENDING</t>
  </si>
  <si>
    <t>Z20-DIRECT VENDING</t>
  </si>
  <si>
    <t>Z37-INDIRECT VENDING</t>
  </si>
  <si>
    <t>Z40-INDIRECT VENDING</t>
  </si>
  <si>
    <t>Z29-WORKPLACE</t>
  </si>
  <si>
    <t>Z20-EDUCATION</t>
  </si>
  <si>
    <t>Z0V-UNIVERSITY</t>
  </si>
  <si>
    <t>Z1P-EDUCATION PRIMARY</t>
  </si>
  <si>
    <t>Z24-EDUCATION ELEMENTARY</t>
  </si>
  <si>
    <t>Z39-EDUCATION HIGH SCH</t>
  </si>
  <si>
    <t>Z63-EDUCATION MIDDLE SCH</t>
  </si>
  <si>
    <t>Z69-EDUCATION OTHER</t>
  </si>
  <si>
    <t>Z35-INDUSTRIAL</t>
  </si>
  <si>
    <t>Z68-OFFICE</t>
  </si>
  <si>
    <t>Z36-INSTITUTION</t>
  </si>
  <si>
    <t>Z37-HOSPITAL&amp;HEALTHCARE</t>
  </si>
  <si>
    <t>Z43-JAIL PRISON</t>
  </si>
  <si>
    <t>Z75-RELIGIOUS AFFIL</t>
  </si>
  <si>
    <t>Z64-3RD P SERV OP</t>
  </si>
  <si>
    <t>Z0S-3RD PARTY SERV OP</t>
  </si>
  <si>
    <t>Z67-WORKPLACE VENDING</t>
  </si>
  <si>
    <t>Z0W-AFH VENDING</t>
  </si>
  <si>
    <t>Z02-DISTRIBUTOR</t>
  </si>
  <si>
    <t>Z02-FOBO</t>
  </si>
  <si>
    <t>Z23-FOBO</t>
  </si>
  <si>
    <t>Z27-FOBO</t>
  </si>
  <si>
    <t>Z05-CONVENIENCE&amp;GAS DIST</t>
  </si>
  <si>
    <t>Z12-CONV&amp;GAS DIST</t>
  </si>
  <si>
    <t>Z16-CONV&amp;GAS DIST</t>
  </si>
  <si>
    <t>Z09-COBO</t>
  </si>
  <si>
    <t>Z05-COBO</t>
  </si>
  <si>
    <t>Z06-COBO</t>
  </si>
  <si>
    <t>Z17-GROCERY DIST</t>
  </si>
  <si>
    <t>Z31-GROCERY DIST</t>
  </si>
  <si>
    <t>Z36-GROCERY DIST</t>
  </si>
  <si>
    <t>Z22-MULTIFORMAT DIST</t>
  </si>
  <si>
    <t>Z44-MULTIFORMAT DIST</t>
  </si>
  <si>
    <t>Z64-MULTIFORMAT DIST</t>
  </si>
  <si>
    <t>Z23-NATURAL DIST</t>
  </si>
  <si>
    <t>Z45-NATURAL DIST</t>
  </si>
  <si>
    <t>Z66-NATURAL DIST</t>
  </si>
  <si>
    <t>Z25-SPECIALTY DIST</t>
  </si>
  <si>
    <t>Z19-DAIRY</t>
  </si>
  <si>
    <t>Z23-DAIRY</t>
  </si>
  <si>
    <t>Z46-OCCUPATIONAL</t>
  </si>
  <si>
    <t>Z70-OCCUPATIONAL</t>
  </si>
  <si>
    <t>Z57-SPECIALTY DIST</t>
  </si>
  <si>
    <t>Z91-SPECIALTY DIST</t>
  </si>
  <si>
    <t>Z63-VENDING</t>
  </si>
  <si>
    <t>Z2B-VENDING</t>
  </si>
  <si>
    <t>Z71-MILITARY&amp;GOVT DIST</t>
  </si>
  <si>
    <t>Z65-MILITARY&amp;GOVT DIST</t>
  </si>
  <si>
    <t>Z32-FOOD SERVICE DIST</t>
  </si>
  <si>
    <t>Z24-FOOD SERVICE DIST</t>
  </si>
  <si>
    <t>Z28-FOOD SERVICE DIST</t>
  </si>
  <si>
    <t>Z03-LARGE FORMAT</t>
  </si>
  <si>
    <t>Z11-DEPT STORE</t>
  </si>
  <si>
    <t>Z17-DEPT STORE</t>
  </si>
  <si>
    <t>Z21-DEPT STORE</t>
  </si>
  <si>
    <t>Z12-DELI</t>
  </si>
  <si>
    <t>Z18-DELI</t>
  </si>
  <si>
    <t>Z22-DELI</t>
  </si>
  <si>
    <t>Z15-FREEZER STORE</t>
  </si>
  <si>
    <t>Z26-FREEZER STORE</t>
  </si>
  <si>
    <t>Z30-FREEZER STORE</t>
  </si>
  <si>
    <t>Z16-GROCERY</t>
  </si>
  <si>
    <t>Z30-GROCERY</t>
  </si>
  <si>
    <t>Z35-GROCERY</t>
  </si>
  <si>
    <t>Z67-NATURAL&amp;GOURMET</t>
  </si>
  <si>
    <t>Z19-HYPER SUPER CENTER</t>
  </si>
  <si>
    <t>Z40-MASS MERCHANDISER</t>
  </si>
  <si>
    <t>Z59-MASS MERCHANDISER</t>
  </si>
  <si>
    <t>Z53-SUPERCENTER</t>
  </si>
  <si>
    <t>Z82-SUPERCENTER</t>
  </si>
  <si>
    <t>Z20-MILITARY&amp;GOVT</t>
  </si>
  <si>
    <t>Z28-GOVT</t>
  </si>
  <si>
    <t>Z71-RETAIL GOVT</t>
  </si>
  <si>
    <t>Z48-RETAIL MILITARY</t>
  </si>
  <si>
    <t>Z72-RETAIL MILITARY</t>
  </si>
  <si>
    <t>Z21-MULTIFORMAT</t>
  </si>
  <si>
    <t>Z41-MULTIFORMAT</t>
  </si>
  <si>
    <t>Z60-LF MULTIFORMAT</t>
  </si>
  <si>
    <t>Z30-WHOLESALE CLUB</t>
  </si>
  <si>
    <t>Z50-RETAIL CLUB</t>
  </si>
  <si>
    <t>Z73-RETAIL CLUB</t>
  </si>
  <si>
    <t>Z36-LARGE DISCOUNTER</t>
  </si>
  <si>
    <t>Z88-LARGE DISCOUNTER</t>
  </si>
  <si>
    <t>Z2A-LARGE DISCOUNTER</t>
  </si>
  <si>
    <t>Z04-OTHER</t>
  </si>
  <si>
    <t>Z04-COMAN</t>
  </si>
  <si>
    <t>Z06-COMAN</t>
  </si>
  <si>
    <t>Z07-COMAN</t>
  </si>
  <si>
    <t>Z13-EXPORT</t>
  </si>
  <si>
    <t>Z21-EXPORT</t>
  </si>
  <si>
    <t>Z25-EXPORT</t>
  </si>
  <si>
    <t>Z14-EMPLOYEE SALES</t>
  </si>
  <si>
    <t>Z22-EMPLOYEE SALES</t>
  </si>
  <si>
    <t>Z26-EMPLOYEE SALES</t>
  </si>
  <si>
    <t>Z18-INTERCO</t>
  </si>
  <si>
    <t>Z15-DOMESTIC</t>
  </si>
  <si>
    <t>Z41-INTERCO DOMESTIC</t>
  </si>
  <si>
    <t>Z73-INTERCO EXPORT</t>
  </si>
  <si>
    <t>Z42-INTERCO EXPORT</t>
  </si>
  <si>
    <t>Z34-MISC SALES</t>
  </si>
  <si>
    <t>Z69-MISC SALES</t>
  </si>
  <si>
    <t>Z1C-BYPRODUCT</t>
  </si>
  <si>
    <t>Z3F-MISC SALES</t>
  </si>
  <si>
    <t>Z05-SMALL FORMAT</t>
  </si>
  <si>
    <t>Z01-CONVENIENCE&amp;GAS</t>
  </si>
  <si>
    <t>Z0C-CHAIN CONV&amp;GAS</t>
  </si>
  <si>
    <t>Z3G-CHAIN CONV&amp;GAS</t>
  </si>
  <si>
    <t>Z0D-LOCAL CONV&amp;GAS</t>
  </si>
  <si>
    <t>Z3H-LOCAL CONV&amp;GAS</t>
  </si>
  <si>
    <t>Z61-TRAVEL SERVICES</t>
  </si>
  <si>
    <t>Z87-SF TRAVEL SERVICES</t>
  </si>
  <si>
    <t>Z08-SMALL DISCOUNTER</t>
  </si>
  <si>
    <t>Z60-VALUE PRICED</t>
  </si>
  <si>
    <t>Z85-SF FIXED DISCOUNTER</t>
  </si>
  <si>
    <t>Z10-DRUG&amp;PHARMACY</t>
  </si>
  <si>
    <t>Z16-DRUG PHARMACY</t>
  </si>
  <si>
    <t>Z81-SF DRUG&amp;PHARMACY</t>
  </si>
  <si>
    <t>Z26-SF GROCERY</t>
  </si>
  <si>
    <t>Z58-SMALL GROCERY</t>
  </si>
  <si>
    <t>Z2J-SF CHAIN SM GROCERY</t>
  </si>
  <si>
    <t>Z3A-SF LOCAL SM GROCERY</t>
  </si>
  <si>
    <t>Z94-MEDIUM GROCERY</t>
  </si>
  <si>
    <t>Z2E-SF CHAIN MED GROCERY</t>
  </si>
  <si>
    <t>Z2F-SF LOCAL MED GROCERY</t>
  </si>
  <si>
    <t>Z95-LARGE GROCERY</t>
  </si>
  <si>
    <t>Z2H-SF CHAIN LG GROCERY</t>
  </si>
  <si>
    <t>Z2I-SF LOCAL LG GROCERY</t>
  </si>
  <si>
    <t>Z96-SF GROCERY</t>
  </si>
  <si>
    <t>Z92-SF GROCERY</t>
  </si>
  <si>
    <t>Z27-IBS</t>
  </si>
  <si>
    <t>Z0E-IBS LOCAL CONV&amp;GAS</t>
  </si>
  <si>
    <t>Z3I-IBS LOCAL CONV&amp;GAS</t>
  </si>
  <si>
    <t>Z29-GOODS&amp;SERVICES</t>
  </si>
  <si>
    <t>Z0R-SF GOODS&amp;SERVICES</t>
  </si>
  <si>
    <t>Z29-FIXED DISCOUNTER</t>
  </si>
  <si>
    <t>Z94-SF SELFSERVE RETAIL</t>
  </si>
  <si>
    <t>Z95-SF DIY</t>
  </si>
  <si>
    <t>Z96-SF ELECTRONICS</t>
  </si>
  <si>
    <t>Z97-SF PRESS RM</t>
  </si>
  <si>
    <t>Z38-KIOSK</t>
  </si>
  <si>
    <t>Z0B-SF KIOSK</t>
  </si>
  <si>
    <t>Z43-MINI MARKET</t>
  </si>
  <si>
    <t>Z0D-SF MINI MARKET</t>
  </si>
  <si>
    <t>Z56-SPECIALTY</t>
  </si>
  <si>
    <t>Z0C-SF LIQUOR STORE</t>
  </si>
  <si>
    <t>Z0E-SF NATURAL</t>
  </si>
  <si>
    <t>Z0F-SF SPECIALTY</t>
  </si>
  <si>
    <t>Z0O-SF DELI</t>
  </si>
  <si>
    <t>Z0P-SF DEPT STORE</t>
  </si>
  <si>
    <t>Z0Q-SF FREEZER STORE</t>
  </si>
  <si>
    <t>Z0Y-SF PERFUMERY</t>
  </si>
  <si>
    <t>Z0Z-SF CONFECTIONERY</t>
  </si>
  <si>
    <t>Z65-IBS DRUG&amp;PHARMACY</t>
  </si>
  <si>
    <t>Z0G-IBS DRUG</t>
  </si>
  <si>
    <t>Z0H-IBS PHARMACY</t>
  </si>
  <si>
    <t>Z0I-IBS DRUG&amp;PHARMACY</t>
  </si>
  <si>
    <t>Z33-SMALL RETAIL CLUB</t>
  </si>
  <si>
    <t>Z66-SMALL RETAIL CLUB</t>
  </si>
  <si>
    <t>Z0X-SMALL RETAIL CLUB</t>
  </si>
  <si>
    <t>Z06-WHOLESALE</t>
  </si>
  <si>
    <t>Z06-CASH&amp;CARRY</t>
  </si>
  <si>
    <t>Z08-CASH&amp;CARRY</t>
  </si>
  <si>
    <t>Z17-CASH&amp;CARRY</t>
  </si>
  <si>
    <t>Z31-WHOLESALE CONV</t>
  </si>
  <si>
    <t>Z11-CONVENTIONAL</t>
  </si>
  <si>
    <t>Z51-LARGE WHOLESALER</t>
  </si>
  <si>
    <t>Z89-SMALL WHOLESALER</t>
  </si>
  <si>
    <t>Z07-E-COMMERCE</t>
  </si>
  <si>
    <t>Z07-CONCIERGE</t>
  </si>
  <si>
    <t>Z74-CONCIERGE GROCERY</t>
  </si>
  <si>
    <t>Z1X-CONCIERGE GROCERY</t>
  </si>
  <si>
    <t>Z75-CONCIERGE AFH</t>
  </si>
  <si>
    <t>Z1Y-CONCIERGE AFH</t>
  </si>
  <si>
    <t>Z92-CONCIERGE CONV</t>
  </si>
  <si>
    <t>Z1W-CONCIERGE CONV</t>
  </si>
  <si>
    <t>Z37-DTC</t>
  </si>
  <si>
    <t>Z76-SOCIAL COMMERCE</t>
  </si>
  <si>
    <t>Z1Z-SOCIAL COMMERCE</t>
  </si>
  <si>
    <t>Z91-BRAND OWNED</t>
  </si>
  <si>
    <t>Z2C-BRAND OWNED</t>
  </si>
  <si>
    <t>Z38-PURE PLAY</t>
  </si>
  <si>
    <t>Z70-PURE PLAY</t>
  </si>
  <si>
    <t>Z1T-PURE PLAY SHIP</t>
  </si>
  <si>
    <t>Z3O-PURE PLAY DELIVERY</t>
  </si>
  <si>
    <t>Z40-OMNI</t>
  </si>
  <si>
    <t>Z0G-OMNI AFH</t>
  </si>
  <si>
    <t>Z3N-OMNI AFH</t>
  </si>
  <si>
    <t>Z0H-OMNI GROCERY MASS</t>
  </si>
  <si>
    <t>Z3L-OMNI GROCERY</t>
  </si>
  <si>
    <t>Z0I-OMNI CONV</t>
  </si>
  <si>
    <t>Z3J-OMNI CONV</t>
  </si>
  <si>
    <t>Z08-TRADITIONAL TRADE</t>
  </si>
  <si>
    <t>Z44-TT CONV&amp;GAS</t>
  </si>
  <si>
    <t>Z85-TT CONV&amp;GAS</t>
  </si>
  <si>
    <t>Z0J-TT GAS</t>
  </si>
  <si>
    <t>Z98-TT CONV</t>
  </si>
  <si>
    <t>Z45-TT DRUG&amp;PHARMACY</t>
  </si>
  <si>
    <t>Z86-TT DRUG&amp;PHARMACY</t>
  </si>
  <si>
    <t>Z3B-TT DRUG</t>
  </si>
  <si>
    <t>Z3C-TT PHARMACY</t>
  </si>
  <si>
    <t>Z3D-TT DRUG&amp;PHARMACY</t>
  </si>
  <si>
    <t>Z46-TT GROCERY</t>
  </si>
  <si>
    <t>Z62-TT GROCERY</t>
  </si>
  <si>
    <t>Z0K-TT LARGE GROCERY</t>
  </si>
  <si>
    <t>Z0L-TT MEDIUM GROCERY</t>
  </si>
  <si>
    <t>Z0M-TT GROCERY</t>
  </si>
  <si>
    <t>Z0N-TT SMALL GROCERY</t>
  </si>
  <si>
    <t>Z47-TT IBS</t>
  </si>
  <si>
    <t>Z0A-TT GOODS&amp;SERVICES</t>
  </si>
  <si>
    <t>Z2N-TT SELFSERVE RETAIL</t>
  </si>
  <si>
    <t>Z2O-TT DIY</t>
  </si>
  <si>
    <t>Z2P-TT ELECTRONICS</t>
  </si>
  <si>
    <t>Z2Q-TT PRESS RM</t>
  </si>
  <si>
    <t>Z2R-TT GOODS&amp;SERVICES</t>
  </si>
  <si>
    <t>Z79-TT WHOLESALER</t>
  </si>
  <si>
    <t>Z1J-TT WHOLESALER</t>
  </si>
  <si>
    <t>Z87-TT SPECIALTY</t>
  </si>
  <si>
    <t>Z1K-TRADITIONAL EATERY</t>
  </si>
  <si>
    <t>Z1L-SPAZA</t>
  </si>
  <si>
    <t>Z1M-SPOKE&amp;BIKE</t>
  </si>
  <si>
    <t>Z2K-TT PERFUMERY</t>
  </si>
  <si>
    <t>Z2M-TT CONFECTIONARY</t>
  </si>
  <si>
    <t>Z2V-TT SPECIALTY</t>
  </si>
  <si>
    <t>Z2X-TT DELI</t>
  </si>
  <si>
    <t>Z2Y-TT DEPT STORE</t>
  </si>
  <si>
    <t>Z2Z-TT FREEZER STORE</t>
  </si>
  <si>
    <t>Z89-TT LIQUOR STORE</t>
  </si>
  <si>
    <t>Z2T-TT LIQUOR STORE</t>
  </si>
  <si>
    <t>Z90-TT NATURAL</t>
  </si>
  <si>
    <t>Z2U-TT NATURAL</t>
  </si>
  <si>
    <t>Z97-TT KIOSKS</t>
  </si>
  <si>
    <t>Z2L-TT KIOSK</t>
  </si>
  <si>
    <t>Z98-TT MINI MARKET</t>
  </si>
  <si>
    <t>Z3E-TT MINI MARKET</t>
  </si>
  <si>
    <t>CG1 Key:</t>
  </si>
  <si>
    <t>Z02_DISTRIBUTOR</t>
  </si>
  <si>
    <t>Z04_OTHER</t>
  </si>
  <si>
    <t>Z06_WHOLESALE</t>
  </si>
  <si>
    <t>Z07_E_COMMERCE</t>
  </si>
  <si>
    <t>Z02_FOBO</t>
  </si>
  <si>
    <t>Z04_COMAN</t>
  </si>
  <si>
    <t>Z07_CONCIERGE</t>
  </si>
  <si>
    <t>Z24_RESTAURANT</t>
  </si>
  <si>
    <t>Z12_DELI</t>
  </si>
  <si>
    <t>Z13_EXPORT</t>
  </si>
  <si>
    <t>Z37_DTC</t>
  </si>
  <si>
    <t>Z28_VENDING</t>
  </si>
  <si>
    <t>Z09_COBO</t>
  </si>
  <si>
    <t>Z29_WORKPLACE</t>
  </si>
  <si>
    <t>Z16_GROCERY</t>
  </si>
  <si>
    <t>Z18_INTERCO</t>
  </si>
  <si>
    <t>Z40_OMNI</t>
  </si>
  <si>
    <t>Z27_IBS</t>
  </si>
  <si>
    <t>Z21_MULTIFORMAT</t>
  </si>
  <si>
    <t>Z01_AWAY_FROM_HOME</t>
  </si>
  <si>
    <t>Z03_LARGE_FORMAT</t>
  </si>
  <si>
    <t>Z05_SMALL_FORMAT</t>
  </si>
  <si>
    <t>Z08_TRADITIONAL_TRADE</t>
  </si>
  <si>
    <t>Z11_DEPT_STORE</t>
  </si>
  <si>
    <t>Z08_SMALL_DISCOUNTER</t>
  </si>
  <si>
    <t>Z31_WHOLESALE_CONV</t>
  </si>
  <si>
    <t>Z15_FREEZER_STORE</t>
  </si>
  <si>
    <t>Z14_EMPLOYEE_SALES</t>
  </si>
  <si>
    <t>Z38_PURE_PLAY</t>
  </si>
  <si>
    <t>Z46_TT_GROCERY</t>
  </si>
  <si>
    <t>Z17_GROCERY_DIST</t>
  </si>
  <si>
    <t>Z26_SF_GROCERY</t>
  </si>
  <si>
    <t>Z47_TT_IBS</t>
  </si>
  <si>
    <t>Z22_MULTIFORMAT_DIST</t>
  </si>
  <si>
    <t>Z19_HYPER_SUPER_CENTER</t>
  </si>
  <si>
    <t>Z34_MISC_SALES</t>
  </si>
  <si>
    <t>Z23_NATURAL_DIST</t>
  </si>
  <si>
    <t>Z33_SMALL_RETAIL_CLUB</t>
  </si>
  <si>
    <t>Z25_SPECIALTY_DIST</t>
  </si>
  <si>
    <t>Z32_FOOD_SERVICE_DIST</t>
  </si>
  <si>
    <t>Z30_WHOLESALE_CLUB</t>
  </si>
  <si>
    <t>Z36_LARGE_DISCOUNTER</t>
  </si>
  <si>
    <t>CG2_Key:</t>
  </si>
  <si>
    <t>Z01_ACCESS</t>
  </si>
  <si>
    <t>Z02_BUFFET</t>
  </si>
  <si>
    <t>Z14_DIRECT_VENDING</t>
  </si>
  <si>
    <t>Z20_EDUCATION</t>
  </si>
  <si>
    <t>Z23_FOBO</t>
  </si>
  <si>
    <t>Z05_COBO</t>
  </si>
  <si>
    <t>Z31_GROCERY_DIST</t>
  </si>
  <si>
    <t>Z44_MULTIFORMAT_DIST</t>
  </si>
  <si>
    <t>Z45_NATURAL_DIST</t>
  </si>
  <si>
    <t>Z19_DAIRY</t>
  </si>
  <si>
    <t>Z24_FOOD_SERVICE_DIST</t>
  </si>
  <si>
    <t>Z17_DEPT_STORE</t>
  </si>
  <si>
    <t>Z18_DELI</t>
  </si>
  <si>
    <t>Z26_FREEZER_STORE</t>
  </si>
  <si>
    <t>Z30_GROCERY</t>
  </si>
  <si>
    <t>Z40_MASS_MERCHANDISER</t>
  </si>
  <si>
    <t>Z28_GOVT</t>
  </si>
  <si>
    <t>Z41_MULTIFORMAT</t>
  </si>
  <si>
    <t>Z50_RETAIL_CLUB</t>
  </si>
  <si>
    <t>Z88_LARGE_DISCOUNTER</t>
  </si>
  <si>
    <t>Z06_COMAN</t>
  </si>
  <si>
    <t>Z21_EXPORT</t>
  </si>
  <si>
    <t>Z22_EMPLOYEE_SALES</t>
  </si>
  <si>
    <t>Z15_DOMESTIC</t>
  </si>
  <si>
    <t>Z69_MISC_SALES</t>
  </si>
  <si>
    <t>Z60_VALUE_PRICED</t>
  </si>
  <si>
    <t>Z16_DRUG_PHARMACY</t>
  </si>
  <si>
    <t>Z58_SMALL_GROCERY</t>
  </si>
  <si>
    <t>Z66_SMALL_RETAIL_CLUB</t>
  </si>
  <si>
    <t>Z11_CONVENTIONAL</t>
  </si>
  <si>
    <t>Z74_CONCIERGE_GROCERY</t>
  </si>
  <si>
    <t>Z76_SOCIAL_COMMERCE</t>
  </si>
  <si>
    <t>Z70_PURE_PLAY</t>
  </si>
  <si>
    <t>Z0G_OMNI_AFH</t>
  </si>
  <si>
    <t>Z62_TT_GROCERY</t>
  </si>
  <si>
    <t>Z04_CINEMA</t>
  </si>
  <si>
    <t>Z03_BAR</t>
  </si>
  <si>
    <t>Z37_INDIRECT_VENDING</t>
  </si>
  <si>
    <t>Z35_INDUSTRIAL</t>
  </si>
  <si>
    <t>Z46_OCCUPATIONAL</t>
  </si>
  <si>
    <t>Z53_SUPERCENTER</t>
  </si>
  <si>
    <t>Z48_RETAIL_MILITARY</t>
  </si>
  <si>
    <t>Z73_INTERCO_EXPORT</t>
  </si>
  <si>
    <t>Z94_MEDIUM_GROCERY</t>
  </si>
  <si>
    <t>Z75_CONCIERGE_AFH</t>
  </si>
  <si>
    <t>Z91_BRAND_OWNED</t>
  </si>
  <si>
    <t>Z0H_OMNI_GROCERY_MASS</t>
  </si>
  <si>
    <t>Z79_TT_WHOLESALER</t>
  </si>
  <si>
    <t>Z34_HOTEL</t>
  </si>
  <si>
    <t>Z07_CAFETERIA</t>
  </si>
  <si>
    <t>Z36_INSTITUTION</t>
  </si>
  <si>
    <t>Z57_SPECIALTY_DIST</t>
  </si>
  <si>
    <t>Z61_TRAVEL_SERVICES</t>
  </si>
  <si>
    <t>Z95_LARGE_GROCERY</t>
  </si>
  <si>
    <t>Z38_KIOSK</t>
  </si>
  <si>
    <t>Z92_CONCIERGE_CONV</t>
  </si>
  <si>
    <t>Z0I_OMNI_CONV</t>
  </si>
  <si>
    <t>Z87_TT_SPECIALTY</t>
  </si>
  <si>
    <t>Z25_FSR_FULL_SERV_REST</t>
  </si>
  <si>
    <t>Z64_3RD_P_SERV_OP</t>
  </si>
  <si>
    <t>Z63_VENDING</t>
  </si>
  <si>
    <t>Z96_SF_GROCERY</t>
  </si>
  <si>
    <t>Z43_MINI_MARKET</t>
  </si>
  <si>
    <t>Z89_TT_LIQUOR_STORE</t>
  </si>
  <si>
    <t>Z39_LSR_LTD_SERV_REST</t>
  </si>
  <si>
    <t>Z67_WORKPLACE_VENDING</t>
  </si>
  <si>
    <t>Z56_SPECIALTY</t>
  </si>
  <si>
    <t>Z90_TT_NATURAL</t>
  </si>
  <si>
    <t>Z47_PIZZERIA</t>
  </si>
  <si>
    <t>Z97_TT_KIOSKS</t>
  </si>
  <si>
    <t>Z55_SPECIAL_EVENTS</t>
  </si>
  <si>
    <t>Z51_QSR_LTD_SERV_REST</t>
  </si>
  <si>
    <t>Z98_TT_MINI_MARKET</t>
  </si>
  <si>
    <t>CG3 Key:</t>
  </si>
  <si>
    <t>Z03_RECREATION_RETAIL</t>
  </si>
  <si>
    <t>Z01_CONVENIENCE_GAS</t>
  </si>
  <si>
    <t>Z06_CASH_CARRY</t>
  </si>
  <si>
    <t>Z44_TT_CONV_GAS</t>
  </si>
  <si>
    <t>Z05_CONVENIENCE_GAS_DIST</t>
  </si>
  <si>
    <t>Z45_TT_DRUG_PHARMACY</t>
  </si>
  <si>
    <t>Z10_DRUG_PHARMACY</t>
  </si>
  <si>
    <t>Z20_MILITARY_GOVT</t>
  </si>
  <si>
    <t>Z12_CONV_GAS_DIST</t>
  </si>
  <si>
    <t>Z0C_CHAIN_CONV_GAS</t>
  </si>
  <si>
    <t>Z0E_IBS_LOCAL_CONV_GAS</t>
  </si>
  <si>
    <t>Z08_CASH_CARRY</t>
  </si>
  <si>
    <t>Z85_TT_CONV_GAS</t>
  </si>
  <si>
    <t>Z86_TT_DRUG_PHARMACY</t>
  </si>
  <si>
    <t>Z0A_TT_GOODS_SERVICES</t>
  </si>
  <si>
    <t>Z0D_LOCAL_CONV_GAS</t>
  </si>
  <si>
    <t>Z29_GOODS_SERVICES</t>
  </si>
  <si>
    <t>Z42_MILITARY_GOVT</t>
  </si>
  <si>
    <t>Z49_RECREATION_RETAIL</t>
  </si>
  <si>
    <t>Z71_MILITARY_GOVT_DIST</t>
  </si>
  <si>
    <t>Z54_SPORTS_ENTERTAINMENT</t>
  </si>
  <si>
    <t>Z65_IBS_DRUG_PHARMACY</t>
  </si>
  <si>
    <t>Z59_TRANSPORT_TRAVEL</t>
  </si>
  <si>
    <t>Z81_GAMING_CASINO</t>
  </si>
  <si>
    <t>Z03_ACCESS</t>
  </si>
  <si>
    <t>Z0U_THEATRE</t>
  </si>
  <si>
    <t>Z34_GOVT</t>
  </si>
  <si>
    <t>Z05_BOWLING</t>
  </si>
  <si>
    <t>Z1N_AMUSEMENT</t>
  </si>
  <si>
    <t>Z31_FITNESS CENTER</t>
  </si>
  <si>
    <t>Z32_GOLF</t>
  </si>
  <si>
    <t>Z83_SKI</t>
  </si>
  <si>
    <t>Z04_ARENA</t>
  </si>
  <si>
    <t>Z88_SPORTING</t>
  </si>
  <si>
    <t>Z01_AIRLINE</t>
  </si>
  <si>
    <t>Z02_AIRPORT</t>
  </si>
  <si>
    <t>Z0A_TRAVEL</t>
  </si>
  <si>
    <t>Z33_GAMING_CASINO</t>
  </si>
  <si>
    <t>Z0V_UNIVERSITY</t>
  </si>
  <si>
    <t>Z68_OFFICE</t>
  </si>
  <si>
    <t>Z37_HOSPITAL_HEALTHCARE</t>
  </si>
  <si>
    <t>Z27_FOBO</t>
  </si>
  <si>
    <t>Z06_COBO</t>
  </si>
  <si>
    <t>Z23_DAIRY</t>
  </si>
  <si>
    <t>Z70_OCCUPATIONAL</t>
  </si>
  <si>
    <t>Z2B_VENDING</t>
  </si>
  <si>
    <t>Z22_DELI</t>
  </si>
  <si>
    <t>Z35_GROCERY</t>
  </si>
  <si>
    <t>Z67_NATURAL_GOURMET</t>
  </si>
  <si>
    <t>Z82_SUPERCENTER</t>
  </si>
  <si>
    <t>Z07_COMAN</t>
  </si>
  <si>
    <t>Z25_EXPORT</t>
  </si>
  <si>
    <t>Z1C_BYPRODUCT</t>
  </si>
  <si>
    <t>Z17_CASH_CARRY</t>
  </si>
  <si>
    <t>Z1L_SPAZA</t>
  </si>
  <si>
    <t>Z1M_SPOKE_BIKE</t>
  </si>
  <si>
    <t>CG4 Key:</t>
  </si>
  <si>
    <t>PRICE GROUP:</t>
  </si>
  <si>
    <t>Z1 BAND A</t>
  </si>
  <si>
    <t>Z2 BAND B</t>
  </si>
  <si>
    <t>Z3 BAND C</t>
  </si>
  <si>
    <t>Z4 BAND D</t>
  </si>
  <si>
    <t>SALES DATA</t>
  </si>
  <si>
    <t>RED - MANDATORY</t>
  </si>
  <si>
    <t>GREEN - OPTIONAL</t>
  </si>
  <si>
    <t>1 STANDARD</t>
  </si>
  <si>
    <t>2 STAND INCL SALES TAX</t>
  </si>
  <si>
    <t>3 REFUND</t>
  </si>
  <si>
    <t>4 DIRECT EXPORTS</t>
  </si>
  <si>
    <t>5 GTM STANDARD</t>
  </si>
  <si>
    <t>6 COND. CONTR. SETTLE</t>
  </si>
  <si>
    <t>D DRIVER SALES</t>
  </si>
  <si>
    <t>G GG CUST STD (ISHTSW)</t>
  </si>
  <si>
    <t>I INTERCOMPANY</t>
  </si>
  <si>
    <t>M NF WEIGHT-DEPENDENT</t>
  </si>
  <si>
    <t>N NF STANDARD</t>
  </si>
  <si>
    <t>R DRM CUSTOMER</t>
  </si>
  <si>
    <t>W AECMA CUSTOMER</t>
  </si>
  <si>
    <t>CUSTOMER PRICING PROCEDURE:</t>
  </si>
  <si>
    <t>NOWY KLIENT DSD</t>
  </si>
  <si>
    <t>DANE</t>
  </si>
  <si>
    <t>RODZAJ KLIENTA</t>
  </si>
  <si>
    <t>PAYER</t>
  </si>
  <si>
    <t>NAZWA KLIENTA</t>
  </si>
  <si>
    <t>ADRES KLIENTA</t>
  </si>
  <si>
    <t>NUMER TEL</t>
  </si>
  <si>
    <t>E-MAIL</t>
  </si>
  <si>
    <t>TRASA</t>
  </si>
  <si>
    <t>NIP/TAX NUMER</t>
  </si>
  <si>
    <t>GODZINY DOSTAW</t>
  </si>
  <si>
    <t>ID PŁATNIKA (jeśli dostępne)</t>
  </si>
  <si>
    <r>
      <t>CZĘSTOTLIWOŚĆ WIZYT</t>
    </r>
    <r>
      <rPr>
        <b/>
        <sz val="8"/>
        <color theme="1"/>
        <rFont val="Cambria"/>
        <family val="2"/>
        <charset val="238"/>
        <scheme val="major"/>
      </rPr>
      <t xml:space="preserve"> </t>
    </r>
    <r>
      <rPr>
        <b/>
        <sz val="8"/>
        <color rgb="FFFF0000"/>
        <rFont val="Cambria"/>
        <family val="2"/>
        <charset val="238"/>
        <scheme val="major"/>
      </rPr>
      <t>(dla odbiorcy)</t>
    </r>
  </si>
  <si>
    <r>
      <t xml:space="preserve">DNI WIZYT </t>
    </r>
    <r>
      <rPr>
        <b/>
        <sz val="8"/>
        <color rgb="FFFF0000"/>
        <rFont val="Cambria"/>
        <family val="2"/>
        <charset val="238"/>
        <scheme val="major"/>
      </rPr>
      <t>(dla odbiorcy)</t>
    </r>
  </si>
  <si>
    <t>SOLD TO</t>
  </si>
  <si>
    <r>
      <t xml:space="preserve">WOJEWÓDZTWO </t>
    </r>
    <r>
      <rPr>
        <b/>
        <sz val="8"/>
        <color rgb="FFFF0000"/>
        <rFont val="Cambria"/>
        <family val="1"/>
        <charset val="238"/>
        <scheme val="major"/>
      </rPr>
      <t>(wybierz)</t>
    </r>
  </si>
  <si>
    <t>dolnośląskie</t>
  </si>
  <si>
    <t>kujawsko-pomorskie</t>
  </si>
  <si>
    <t>lubelskie</t>
  </si>
  <si>
    <t>lubuskie</t>
  </si>
  <si>
    <t>łódzkie</t>
  </si>
  <si>
    <t>małopolskie</t>
  </si>
  <si>
    <t>mazowieckie</t>
  </si>
  <si>
    <t>opolskie</t>
  </si>
  <si>
    <t>podkarpackie</t>
  </si>
  <si>
    <t>podlaskie</t>
  </si>
  <si>
    <t>pomorskie</t>
  </si>
  <si>
    <t>śląskie</t>
  </si>
  <si>
    <t>świętokrzyskie</t>
  </si>
  <si>
    <t>warmińsko-mazurskie</t>
  </si>
  <si>
    <t>wielkopolskie</t>
  </si>
  <si>
    <t>zachodniopomorskie</t>
  </si>
  <si>
    <t>KA snacks</t>
  </si>
  <si>
    <t>KA bev</t>
  </si>
  <si>
    <t>Z1</t>
  </si>
  <si>
    <t xml:space="preserve">                       N</t>
  </si>
  <si>
    <t>N</t>
  </si>
  <si>
    <t>Z2</t>
  </si>
  <si>
    <t xml:space="preserve">                        T</t>
  </si>
  <si>
    <t>Z3</t>
  </si>
  <si>
    <t xml:space="preserve">                        N</t>
  </si>
  <si>
    <t>T</t>
  </si>
  <si>
    <t>Z4</t>
  </si>
  <si>
    <t>Legenda:</t>
  </si>
  <si>
    <r>
      <t xml:space="preserve">TERMIN PŁATNOŚCI </t>
    </r>
    <r>
      <rPr>
        <b/>
        <sz val="8"/>
        <color rgb="FFFF0000"/>
        <rFont val="Cambria"/>
        <family val="1"/>
        <charset val="238"/>
        <scheme val="major"/>
      </rPr>
      <t>(wybierz)</t>
    </r>
  </si>
  <si>
    <r>
      <t xml:space="preserve">CUSTOMER GROUP 1/KATEGORIA </t>
    </r>
    <r>
      <rPr>
        <b/>
        <sz val="8"/>
        <color rgb="FFFF0000"/>
        <rFont val="Cambria"/>
        <family val="2"/>
        <charset val="238"/>
        <scheme val="major"/>
      </rPr>
      <t>(wybierz)</t>
    </r>
  </si>
  <si>
    <r>
      <t xml:space="preserve">CUSTOMER GROUP 2/KATEGORIA </t>
    </r>
    <r>
      <rPr>
        <b/>
        <sz val="8"/>
        <color rgb="FFFF0000"/>
        <rFont val="Cambria"/>
        <family val="2"/>
        <charset val="238"/>
        <scheme val="major"/>
      </rPr>
      <t>(wybierz)</t>
    </r>
  </si>
  <si>
    <r>
      <t xml:space="preserve">CUSTOMER GROUP 3/KATEGORIA </t>
    </r>
    <r>
      <rPr>
        <b/>
        <sz val="8"/>
        <color rgb="FFFF0000"/>
        <rFont val="Cambria"/>
        <family val="2"/>
        <charset val="238"/>
        <scheme val="major"/>
      </rPr>
      <t>(wybierz)</t>
    </r>
  </si>
  <si>
    <r>
      <t xml:space="preserve">CUSTOMER GROUP 4/KATEGORIA </t>
    </r>
    <r>
      <rPr>
        <b/>
        <sz val="8"/>
        <color rgb="FFFF0000"/>
        <rFont val="Cambria"/>
        <family val="2"/>
        <charset val="238"/>
        <scheme val="major"/>
      </rPr>
      <t>(wybierz)</t>
    </r>
  </si>
  <si>
    <t>ME10 10 Days after end of current month</t>
  </si>
  <si>
    <t>ME14 14 Days after end of current month</t>
  </si>
  <si>
    <t>ME15 15 Days after end of current month</t>
  </si>
  <si>
    <t>ME28 28 Days after end of current month</t>
  </si>
  <si>
    <t>ME30 30 Days after end of current month</t>
  </si>
  <si>
    <t>ME31 31 Days after end of month</t>
  </si>
  <si>
    <t>ME34 34 Days after end of month</t>
  </si>
  <si>
    <t>ME36 36 Days after end of month</t>
  </si>
  <si>
    <t>ME45 45 Days after end of current month</t>
  </si>
  <si>
    <t>ME60 60 Days after end of current month</t>
  </si>
  <si>
    <t>ME61 61 Days after end of current month</t>
  </si>
  <si>
    <t>ME62 62 Days after end of current month</t>
  </si>
  <si>
    <t>ME63 63 Days after end of current month</t>
  </si>
  <si>
    <t>ME75 75 Days after end of current month</t>
  </si>
  <si>
    <t>ME90 90 Days after end of current month</t>
  </si>
  <si>
    <t>ME91 91 Days after end of current month</t>
  </si>
  <si>
    <t>N115 Net due in 115 days</t>
  </si>
  <si>
    <t>N120 Net due in 120 days</t>
  </si>
  <si>
    <t>N150 Net due in 150 days</t>
  </si>
  <si>
    <t>N180 Net due in 180 days</t>
  </si>
  <si>
    <t>NT00 Payable upon receipt</t>
  </si>
  <si>
    <t>NT01 Net due in 01 days</t>
  </si>
  <si>
    <t>NT02 Net due in 02 days</t>
  </si>
  <si>
    <t>NT03 Net due in 3 days</t>
  </si>
  <si>
    <t>NT05 Net due in 5 days</t>
  </si>
  <si>
    <t>NT07 Net due in 7 days</t>
  </si>
  <si>
    <t>NT08 Net due in 8 days</t>
  </si>
  <si>
    <t>NT10 Net due in 10 days</t>
  </si>
  <si>
    <t>NT13 Net due in 13 days</t>
  </si>
  <si>
    <t>NT14 Net due in 14 days</t>
  </si>
  <si>
    <t>NT15 Net due in 15 days</t>
  </si>
  <si>
    <t>NT16 Net due in 16 days</t>
  </si>
  <si>
    <t>NT18 Net Due in 18 Days</t>
  </si>
  <si>
    <t>NT20 Net due in 20 days</t>
  </si>
  <si>
    <t>NT21 Net due in 21 days</t>
  </si>
  <si>
    <t>NT25 Net Due in 25 Days</t>
  </si>
  <si>
    <t>NT28 Net due in 28 days</t>
  </si>
  <si>
    <t>NT30 Net due in 30 days</t>
  </si>
  <si>
    <t>NT33 Net due in 33 days</t>
  </si>
  <si>
    <t>NT34 Net due in 34 days</t>
  </si>
  <si>
    <t>NT35 Net due in 35 days</t>
  </si>
  <si>
    <t>NT36 Net due in 36 days</t>
  </si>
  <si>
    <t>NT37 Net due in 37 days</t>
  </si>
  <si>
    <t>NT38 Net due in 38 days</t>
  </si>
  <si>
    <t>NT39 Net due in 39 days</t>
  </si>
  <si>
    <t>NT40 Net due in 40 days</t>
  </si>
  <si>
    <t>NT41 Net due in 41 days</t>
  </si>
  <si>
    <t>NT42 Net due in 42 days</t>
  </si>
  <si>
    <t>NT44 Net due in 44 days</t>
  </si>
  <si>
    <t>NT45 Net due in 45 days</t>
  </si>
  <si>
    <t>NT47 Net due in 47 days</t>
  </si>
  <si>
    <t>NT48 Net due in 48 days</t>
  </si>
  <si>
    <t>NT49 Net due in 49 days</t>
  </si>
  <si>
    <t>NT50 Net due in 50 days</t>
  </si>
  <si>
    <t>NT52 Net due in 52 days</t>
  </si>
  <si>
    <t>NT54 Net due in 54 days</t>
  </si>
  <si>
    <t>NT55 Net Due in 55 Days</t>
  </si>
  <si>
    <t>NT56 Net due in 56 days</t>
  </si>
  <si>
    <t>NT59 Net due in 59 days</t>
  </si>
  <si>
    <t>NT60 Net due in 60 days</t>
  </si>
  <si>
    <t>NT65 Net Due in 65 Days</t>
  </si>
  <si>
    <t>NT70 Net due in 70 days</t>
  </si>
  <si>
    <t>NT75 Net Due in 75 Days</t>
  </si>
  <si>
    <t>NT80 Net due in 80 days</t>
  </si>
  <si>
    <t>NT85 Net due in 85 days</t>
  </si>
  <si>
    <t>NT87 Netdue in 87 days</t>
  </si>
  <si>
    <t>NT90 Net due in 90 days</t>
  </si>
  <si>
    <t>SIEĆ (LV 7 HIERARCHII)</t>
  </si>
  <si>
    <r>
      <t xml:space="preserve">CENNIK </t>
    </r>
    <r>
      <rPr>
        <b/>
        <sz val="8"/>
        <color rgb="FFFF0000"/>
        <rFont val="Cambria"/>
        <family val="1"/>
        <charset val="238"/>
        <scheme val="major"/>
      </rPr>
      <t>(wybierz z tabeli obok)</t>
    </r>
  </si>
  <si>
    <t>Cennik</t>
  </si>
  <si>
    <t>ULICA</t>
  </si>
  <si>
    <t>NUMER</t>
  </si>
  <si>
    <t>KOD POCZTOWY</t>
  </si>
  <si>
    <t>MIASTO</t>
  </si>
  <si>
    <t>REGION</t>
  </si>
  <si>
    <t>Nie</t>
  </si>
  <si>
    <t>Tak</t>
  </si>
  <si>
    <r>
      <t xml:space="preserve">CZY WIĘCEJ NIŻ JEDEN RODZAJ KLIENTA? </t>
    </r>
    <r>
      <rPr>
        <b/>
        <sz val="8"/>
        <color rgb="FFFF0000"/>
        <rFont val="Cambria"/>
        <family val="1"/>
        <charset val="238"/>
        <scheme val="major"/>
      </rPr>
      <t>(wybierz)</t>
    </r>
  </si>
  <si>
    <t>NOWY KLIENT DSD (DRUGI RODZAJ)</t>
  </si>
  <si>
    <r>
      <t xml:space="preserve">CUSTOMER GROUP 1/KATEGORIA </t>
    </r>
    <r>
      <rPr>
        <b/>
        <sz val="8"/>
        <rFont val="Cambria"/>
        <family val="1"/>
        <charset val="238"/>
        <scheme val="major"/>
      </rPr>
      <t>(wybierz)</t>
    </r>
  </si>
  <si>
    <r>
      <t xml:space="preserve">CUSTOMER GROUP 2/KATEGORIA </t>
    </r>
    <r>
      <rPr>
        <b/>
        <sz val="8"/>
        <rFont val="Cambria"/>
        <family val="1"/>
        <charset val="238"/>
        <scheme val="major"/>
      </rPr>
      <t>(wybierz)</t>
    </r>
  </si>
  <si>
    <r>
      <t xml:space="preserve">CUSTOMER GROUP 3/KATEGORIA </t>
    </r>
    <r>
      <rPr>
        <b/>
        <sz val="8"/>
        <rFont val="Cambria"/>
        <family val="1"/>
        <charset val="238"/>
        <scheme val="major"/>
      </rPr>
      <t>(wybierz)</t>
    </r>
  </si>
  <si>
    <r>
      <t xml:space="preserve">CUSTOMER GROUP 4/KATEGORIA </t>
    </r>
    <r>
      <rPr>
        <b/>
        <sz val="8"/>
        <rFont val="Cambria"/>
        <family val="1"/>
        <charset val="238"/>
        <scheme val="major"/>
      </rPr>
      <t>(wybierz)</t>
    </r>
  </si>
  <si>
    <r>
      <t xml:space="preserve">CENNIK </t>
    </r>
    <r>
      <rPr>
        <b/>
        <sz val="8"/>
        <rFont val="Cambria"/>
        <family val="1"/>
        <charset val="238"/>
        <scheme val="major"/>
      </rPr>
      <t>(wybierz z tabeli obok)</t>
    </r>
  </si>
  <si>
    <r>
      <t xml:space="preserve">WOJEWÓDZTWO </t>
    </r>
    <r>
      <rPr>
        <b/>
        <sz val="8"/>
        <rFont val="Cambria"/>
        <family val="1"/>
        <charset val="238"/>
        <scheme val="major"/>
      </rPr>
      <t>(wybierz)</t>
    </r>
  </si>
  <si>
    <r>
      <t>CZĘSTOTLIWOŚĆ WIZYT</t>
    </r>
    <r>
      <rPr>
        <b/>
        <sz val="8"/>
        <rFont val="Cambria"/>
        <family val="1"/>
        <charset val="238"/>
        <scheme val="major"/>
      </rPr>
      <t xml:space="preserve"> (dla odbiorcy)</t>
    </r>
  </si>
  <si>
    <r>
      <t xml:space="preserve">DNI WIZYT </t>
    </r>
    <r>
      <rPr>
        <b/>
        <sz val="8"/>
        <rFont val="Cambria"/>
        <family val="1"/>
        <charset val="238"/>
        <scheme val="major"/>
      </rPr>
      <t>(dla odbiorcy)</t>
    </r>
  </si>
  <si>
    <r>
      <t xml:space="preserve">TERMIN PŁATNOŚCI </t>
    </r>
    <r>
      <rPr>
        <b/>
        <sz val="8"/>
        <rFont val="Cambria"/>
        <family val="1"/>
        <charset val="238"/>
        <scheme val="major"/>
      </rPr>
      <t>(wybierz)</t>
    </r>
  </si>
  <si>
    <t>POLA OPCJONALNE (DLA WIĘCEJ NIŻ 1 RODZAJU KLIENTA)</t>
  </si>
  <si>
    <r>
      <t xml:space="preserve">CZY INNY ADRES DLA DRUGIEGO RODZAJU KLIENTA? </t>
    </r>
    <r>
      <rPr>
        <b/>
        <sz val="8"/>
        <color rgb="FFFF0000"/>
        <rFont val="Cambria"/>
        <family val="1"/>
        <charset val="238"/>
        <scheme val="major"/>
      </rPr>
      <t>(wybierz)</t>
    </r>
  </si>
  <si>
    <t>WOJEWÓDZTWA</t>
  </si>
  <si>
    <t>Payment Terms</t>
  </si>
  <si>
    <t>Cenniki</t>
  </si>
  <si>
    <t>grp1</t>
  </si>
  <si>
    <t>polska</t>
  </si>
  <si>
    <t>warszawa</t>
  </si>
  <si>
    <t>niemcy</t>
  </si>
  <si>
    <t>berlin</t>
  </si>
  <si>
    <t>Z61_MOVIE_THEATER</t>
  </si>
  <si>
    <t>Z08_CHAIN_HOTELS</t>
  </si>
  <si>
    <t>Z18_CHAIN_HOTEL_CASINO</t>
  </si>
  <si>
    <t>Z44_LOCAL_HOTELS</t>
  </si>
  <si>
    <t>Z58_LOCAL_HOTEL_CASINO</t>
  </si>
  <si>
    <t>Z62_MILITARY_GOVT_AFH</t>
  </si>
  <si>
    <t>Z0T_TENNIS_RACQUET_CLUB</t>
  </si>
  <si>
    <t>Z1R_YOUTH_SPORTS</t>
  </si>
  <si>
    <t>Z31_FITNESS_CENTER</t>
  </si>
  <si>
    <t>Z74_RETAIL_STORE</t>
  </si>
  <si>
    <t>Z93_THEME_PARK</t>
  </si>
  <si>
    <t>Z2G_SF_DISCO_CLUB</t>
  </si>
  <si>
    <t>Z84_SPECIAL_EVENTS</t>
  </si>
  <si>
    <t>Z09_CHAIN_BUFFET</t>
  </si>
  <si>
    <t>Z45_LOCAL_BUFFET</t>
  </si>
  <si>
    <t>Z12_CHAIN_BAR</t>
  </si>
  <si>
    <t>Z48_LOCAL_BAR</t>
  </si>
  <si>
    <t>Z11_CHAIN_CAFETERIA</t>
  </si>
  <si>
    <t>Z47_LOCAL_CAFETERIA</t>
  </si>
  <si>
    <t>Z13_CHAIN_FSR</t>
  </si>
  <si>
    <t>Z49_LOCAL_FSR</t>
  </si>
  <si>
    <t>Z15_CHAIN_LSR</t>
  </si>
  <si>
    <t>Z52_LOCAL_LSR</t>
  </si>
  <si>
    <t>Z10_CHAIN_PIZZERIA</t>
  </si>
  <si>
    <t>Z46_LOCAL_PIZZERIA</t>
  </si>
  <si>
    <t>Z14_CHAIN_QSR</t>
  </si>
  <si>
    <t>Z50_LOCAL_QSR</t>
  </si>
  <si>
    <t>Z20_DIRECT_VENDING</t>
  </si>
  <si>
    <t>Z40_INDIRECT_VENDING</t>
  </si>
  <si>
    <t>Z1P_EDUCATION_PRIMARY</t>
  </si>
  <si>
    <t>Z24_EDUCATION_ELEMENTARY</t>
  </si>
  <si>
    <t>Z39_EDUCATION_HIGH_SCH</t>
  </si>
  <si>
    <t>Z63_EDUCATION_MIDDLE_SCH</t>
  </si>
  <si>
    <t>Z69_EDUCATION_OTHER</t>
  </si>
  <si>
    <t>Z43_JAIL_PRISON</t>
  </si>
  <si>
    <t>Z75_RELIGIOUS_AFFIL</t>
  </si>
  <si>
    <t>Z0S_3RD_PARTY_SERV_OP</t>
  </si>
  <si>
    <t>Z0W_AFH_VENDING</t>
  </si>
  <si>
    <t>Z16_CONV_GAS_DIST</t>
  </si>
  <si>
    <t>Z36_GROCERY_DIST</t>
  </si>
  <si>
    <t>Z64_MULTIFORMAT_DIST</t>
  </si>
  <si>
    <t>Z66_NATURAL_DIST</t>
  </si>
  <si>
    <t>Z91_SPECIALTY_DIST</t>
  </si>
  <si>
    <t>Z65_MILITARY_GOVT_DIST</t>
  </si>
  <si>
    <t>Z28_FOOD_SERVICE_DIST</t>
  </si>
  <si>
    <t>Z21_DEPT_STORE</t>
  </si>
  <si>
    <t>Z30_FREEZER_STORE</t>
  </si>
  <si>
    <t>Z59_MASS_MERCHANDISER</t>
  </si>
  <si>
    <t>Z71_RETAIL_GOVT</t>
  </si>
  <si>
    <t>Z72_RETAIL_MILITARY</t>
  </si>
  <si>
    <t>Z60_LF_MULTIFORMAT</t>
  </si>
  <si>
    <t>Z73_RETAIL_CLUB</t>
  </si>
  <si>
    <t>Z2A_LARGE_DISCOUNTER</t>
  </si>
  <si>
    <t>Z26_EMPLOYEE_SALES</t>
  </si>
  <si>
    <t>Z41_INTERCO_DOMESTIC</t>
  </si>
  <si>
    <t>Z42_INTERCO_EXPORT</t>
  </si>
  <si>
    <t>Z3F_MISC_SALES</t>
  </si>
  <si>
    <t>Z3G_CHAIN_CONV_GAS</t>
  </si>
  <si>
    <t>Z3H_LOCAL_CONV_GAS</t>
  </si>
  <si>
    <t>Z87_SF_TRAVEL_SERVICES</t>
  </si>
  <si>
    <t>Z85_SF_FIXED_DISCOUNTER</t>
  </si>
  <si>
    <t>Z81_SF_DRUG_PHARMACY</t>
  </si>
  <si>
    <t>Z2J_SF_CHAIN_SM_GROCERY</t>
  </si>
  <si>
    <t>Z3A_SF_LOCAL_SM_GROCERY</t>
  </si>
  <si>
    <t>Z2E_SF_CHAIN_MED_GROCERY</t>
  </si>
  <si>
    <t>Z2F_SF_LOCAL_MED_GROCERY</t>
  </si>
  <si>
    <t>Z2H_SF_CHAIN_LG_GROCERY</t>
  </si>
  <si>
    <t>Z2I_SF_LOCAL_LG_GROCERY</t>
  </si>
  <si>
    <t>Z92_SF_GROCERY</t>
  </si>
  <si>
    <t>Z3I_IBS_LOCAL_CONV_GAS</t>
  </si>
  <si>
    <t>Z0R_SF_GOODS_SERVICES</t>
  </si>
  <si>
    <t>Z29_FIXED_DISCOUNTER</t>
  </si>
  <si>
    <t>Z94_SF_SELFSERVE_RETAIL</t>
  </si>
  <si>
    <t>Z95_SF_DIY</t>
  </si>
  <si>
    <t>Z96_SF_ELECTRONICS</t>
  </si>
  <si>
    <t>Z97_SF_PRESS_RM</t>
  </si>
  <si>
    <t>Z0B_SF_KIOSK</t>
  </si>
  <si>
    <t>Z0D_SF_MINI_MARKET</t>
  </si>
  <si>
    <t>Z0C_SF_LIQUOR_STORE</t>
  </si>
  <si>
    <t>Z0E_SF_NATURAL</t>
  </si>
  <si>
    <t>Z0F_SF_SPECIALTY</t>
  </si>
  <si>
    <t>Z0O_SF_DELI</t>
  </si>
  <si>
    <t>Z0P_SF_DEPT_STORE</t>
  </si>
  <si>
    <t>Z0Q_SF_FREEZER_STORE</t>
  </si>
  <si>
    <t>Z0Y_SF_PERFUMERY</t>
  </si>
  <si>
    <t>Z0Z_SF_CONFECTIONERY</t>
  </si>
  <si>
    <t>Z0G_IBS_DRUG</t>
  </si>
  <si>
    <t>Z0H_IBS_PHARMACY</t>
  </si>
  <si>
    <t>Z0I_IBS_DRUG_PHARMACY</t>
  </si>
  <si>
    <t>Z0X_SMALL_RETAIL_CLUB</t>
  </si>
  <si>
    <t>Z51_LARGE_WHOLESALER</t>
  </si>
  <si>
    <t>Z89_SMALL_WHOLESALER</t>
  </si>
  <si>
    <t>Z1X_CONCIERGE_GROCERY</t>
  </si>
  <si>
    <t>Z1Y_CONCIERGE_AFH</t>
  </si>
  <si>
    <t>Z1W_CONCIERGE_CONV</t>
  </si>
  <si>
    <t>Z1Z_SOCIAL_COMMERCE</t>
  </si>
  <si>
    <t>Z2C_BRAND_OWNED</t>
  </si>
  <si>
    <t>Z1T_PURE_PLAY_SHIP</t>
  </si>
  <si>
    <t>Z3O_PURE_PLAY_DELIVERY</t>
  </si>
  <si>
    <t>Z3N_OMNI_AFH</t>
  </si>
  <si>
    <t>Z3L_OMNI_GROCERY</t>
  </si>
  <si>
    <t>Z3J_OMNI_CONV</t>
  </si>
  <si>
    <t>Z0J_TT_GAS</t>
  </si>
  <si>
    <t>Z98_TT_CONV</t>
  </si>
  <si>
    <t>Z3B_TT_DRUG</t>
  </si>
  <si>
    <t>Z3C_TT_PHARMACY</t>
  </si>
  <si>
    <t>Z3D_TT_DRUG_PHARMACY</t>
  </si>
  <si>
    <t>Z0K_TT_LARGE_GROCERY</t>
  </si>
  <si>
    <t>Z0L_TT_MEDIUM_GROCERY</t>
  </si>
  <si>
    <t>Z0M_TT_GROCERY</t>
  </si>
  <si>
    <t>Z0N_TT_SMALL_GROCERY</t>
  </si>
  <si>
    <t>Z2N_TT_SELFSERVE_RETAIL</t>
  </si>
  <si>
    <t>Z2O_TT_DIY</t>
  </si>
  <si>
    <t>Z2P_TT_ELECTRONICS</t>
  </si>
  <si>
    <t>Z2Q_TT_PRESS_RM</t>
  </si>
  <si>
    <t>Z2R_TT_GOODS_SERVICES</t>
  </si>
  <si>
    <t>Z1J_TT_WHOLESALER</t>
  </si>
  <si>
    <t>Z1K_TRADITIONAL_EATERY</t>
  </si>
  <si>
    <t>Z2K_TT_PERFUMERY</t>
  </si>
  <si>
    <t>Z2M_TT_CONFECTIONARY</t>
  </si>
  <si>
    <t>Z2V_TT_SPECIALTY</t>
  </si>
  <si>
    <t>Z2X_TT_DELI</t>
  </si>
  <si>
    <t>Z2Y_TT_DEPT_STORE</t>
  </si>
  <si>
    <t>Z2Z_TT_FREEZER_STORE</t>
  </si>
  <si>
    <t>Z2T_TT_LIQUOR_STORE</t>
  </si>
  <si>
    <t>Z2U_TT_NATURAL</t>
  </si>
  <si>
    <t>Z2L_TT_KIOSK</t>
  </si>
  <si>
    <t>Z3E_TT_MINI_MARKET</t>
  </si>
  <si>
    <t>ILN:</t>
  </si>
  <si>
    <t>NIP:</t>
  </si>
  <si>
    <t>Godziny dostaw</t>
  </si>
  <si>
    <t>DSL</t>
  </si>
  <si>
    <t>Column1</t>
  </si>
  <si>
    <t>K-P</t>
  </si>
  <si>
    <t>LBL</t>
  </si>
  <si>
    <t>LBS</t>
  </si>
  <si>
    <t>LDZ</t>
  </si>
  <si>
    <t>MAL</t>
  </si>
  <si>
    <t>MAZ</t>
  </si>
  <si>
    <t>OPO</t>
  </si>
  <si>
    <t>PDK</t>
  </si>
  <si>
    <t>PDL</t>
  </si>
  <si>
    <t>POM</t>
  </si>
  <si>
    <t>SLS</t>
  </si>
  <si>
    <t>SWK</t>
  </si>
  <si>
    <t>W-M</t>
  </si>
  <si>
    <t>WLK</t>
  </si>
  <si>
    <t>Z-P</t>
  </si>
  <si>
    <t>SOLD-TO = PAYER:</t>
  </si>
  <si>
    <t>ID PŁATNIKA (JEŚLI DOSTĘPNE)</t>
  </si>
  <si>
    <t>NAZWA KLIENTA:</t>
  </si>
  <si>
    <t>ULICA:</t>
  </si>
  <si>
    <t>NUMER ULICY:</t>
  </si>
  <si>
    <t>KOD POCZTOWY:</t>
  </si>
  <si>
    <t>MIASTO:</t>
  </si>
  <si>
    <t>TRASA:</t>
  </si>
  <si>
    <t>NR TELEFONU:</t>
  </si>
  <si>
    <t>EMAIL:</t>
  </si>
  <si>
    <t>PAYMENT TERMS:</t>
  </si>
  <si>
    <t>CUST GROUP 1:</t>
  </si>
  <si>
    <t>CUST GROUP 2:</t>
  </si>
  <si>
    <t>CUST GROUP 3:</t>
  </si>
  <si>
    <t>CUST GROUP 4:</t>
  </si>
  <si>
    <t>RANO OD:</t>
  </si>
  <si>
    <t>RANO DO:</t>
  </si>
  <si>
    <t>WIECZÓR OD:</t>
  </si>
  <si>
    <t>WIECZÓR DO:</t>
  </si>
  <si>
    <t>CZĘSTOTLIWOŚĆ WIZYT</t>
  </si>
  <si>
    <t>DNI WIZYT</t>
  </si>
  <si>
    <t>UWAGI/KOMENTARZE</t>
  </si>
  <si>
    <t>INSTRUKCJA</t>
  </si>
  <si>
    <t>KOD WOJEWÓDZTWO:</t>
  </si>
  <si>
    <t>- Kliknij odpowiedni przycisk by przejść do formularza na nowego płatnika i/lub odbiorcę
- Jeżeli płatnik i odbiorca mają identyczne dane, wybierz jedynie "NOWY SOLD-TO" i zaznacz opcję "SOLD-TO = PAYER"
- Po wypełnieniu możesz zweryfikować wprowadzone dane w arkuszu "Cleansed_data"
- Ewentualne uwagi zostaw w miejscu na komentarze poniżej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</si>
</sst>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b/>
      <sz val="11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</font>
    <font>
      <b/>
      <sz val="11"/>
      <name val="Calibri"/>
      <family val="2"/>
      <charset val="238"/>
    </font>
    <font>
      <b/>
      <sz val="19"/>
      <color rgb="FFFF0000"/>
      <name val="Calibri"/>
      <family val="2"/>
    </font>
    <font>
      <sz val="19"/>
      <color theme="1"/>
      <name val="Calibri"/>
      <family val="2"/>
      <scheme val="minor"/>
    </font>
    <font>
      <b/>
      <sz val="19"/>
      <color rgb="FFFF0000"/>
      <name val="Calibri"/>
      <family val="2"/>
      <scheme val="minor"/>
    </font>
    <font>
      <b/>
      <sz val="19"/>
      <color rgb="FFFF0000"/>
      <name val="Calibri"/>
      <family val="2"/>
      <charset val="238"/>
      <scheme val="minor"/>
    </font>
    <font>
      <b/>
      <sz val="19"/>
      <color theme="1"/>
      <name val="Calibri"/>
      <family val="2"/>
      <charset val="238"/>
      <scheme val="minor"/>
    </font>
    <font>
      <b/>
      <sz val="19"/>
      <color rgb="FF00B05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0"/>
      <color theme="1"/>
      <name val="Cambria"/>
      <family val="2"/>
      <charset val="238"/>
      <scheme val="major"/>
    </font>
    <font>
      <sz val="11"/>
      <color theme="1"/>
      <name val="Cambria"/>
      <family val="2"/>
      <charset val="238"/>
      <scheme val="major"/>
    </font>
    <font>
      <b/>
      <sz val="8"/>
      <color rgb="FFFF0000"/>
      <name val="Cambria"/>
      <family val="2"/>
      <charset val="238"/>
      <scheme val="major"/>
    </font>
    <font>
      <b/>
      <sz val="8"/>
      <color theme="1"/>
      <name val="Cambria"/>
      <family val="2"/>
      <charset val="238"/>
      <scheme val="major"/>
    </font>
    <font>
      <b/>
      <sz val="8"/>
      <color rgb="FFFF0000"/>
      <name val="Cambria"/>
      <family val="1"/>
      <charset val="238"/>
      <scheme val="major"/>
    </font>
    <font>
      <sz val="11"/>
      <color rgb="FF00000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0"/>
      <name val="Cambria"/>
      <family val="1"/>
      <charset val="238"/>
      <scheme val="major"/>
    </font>
    <font>
      <b/>
      <sz val="8"/>
      <name val="Cambria"/>
      <family val="1"/>
      <charset val="238"/>
      <scheme val="major"/>
    </font>
    <font>
      <b/>
      <sz val="11"/>
      <color theme="0"/>
      <name val="Cambria"/>
      <family val="1"/>
      <charset val="238"/>
      <scheme val="major"/>
    </font>
    <font>
      <sz val="8"/>
      <name val="Calibri"/>
      <family val="2"/>
      <scheme val="minor"/>
    </font>
    <font>
      <b/>
      <sz val="30"/>
      <color theme="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sz val="13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0"/>
      </right>
      <top style="thin">
        <color theme="4"/>
      </top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8" fillId="8" borderId="0" applyNumberFormat="0" applyBorder="0" applyAlignment="0" applyProtection="0"/>
  </cellStyleXfs>
  <cellXfs count="78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0" borderId="0" xfId="0" applyFont="1"/>
    <xf numFmtId="0" fontId="1" fillId="2" borderId="1" xfId="0" applyFont="1" applyFill="1" applyBorder="1" applyAlignment="1">
      <alignment vertical="top"/>
    </xf>
    <xf numFmtId="0" fontId="0" fillId="2" borderId="0" xfId="0" applyFill="1"/>
    <xf numFmtId="0" fontId="2" fillId="2" borderId="0" xfId="0" applyFont="1" applyFill="1"/>
    <xf numFmtId="0" fontId="5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1" fillId="4" borderId="2" xfId="0" applyFont="1" applyFill="1" applyBorder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12" fillId="5" borderId="4" xfId="0" applyFont="1" applyFill="1" applyBorder="1"/>
    <xf numFmtId="0" fontId="13" fillId="5" borderId="5" xfId="0" applyFont="1" applyFill="1" applyBorder="1"/>
    <xf numFmtId="0" fontId="12" fillId="6" borderId="4" xfId="0" applyFont="1" applyFill="1" applyBorder="1"/>
    <xf numFmtId="0" fontId="13" fillId="6" borderId="5" xfId="0" applyFont="1" applyFill="1" applyBorder="1"/>
    <xf numFmtId="0" fontId="12" fillId="6" borderId="6" xfId="0" applyFont="1" applyFill="1" applyBorder="1"/>
    <xf numFmtId="0" fontId="17" fillId="2" borderId="0" xfId="0" applyFont="1" applyFill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9" fillId="5" borderId="4" xfId="0" applyFont="1" applyFill="1" applyBorder="1"/>
    <xf numFmtId="0" fontId="19" fillId="6" borderId="4" xfId="0" applyFont="1" applyFill="1" applyBorder="1"/>
    <xf numFmtId="0" fontId="19" fillId="6" borderId="6" xfId="0" applyFont="1" applyFill="1" applyBorder="1"/>
    <xf numFmtId="0" fontId="4" fillId="2" borderId="7" xfId="0" applyFont="1" applyFill="1" applyBorder="1" applyAlignment="1">
      <alignment vertical="top"/>
    </xf>
    <xf numFmtId="0" fontId="1" fillId="2" borderId="7" xfId="0" applyFont="1" applyFill="1" applyBorder="1" applyAlignment="1">
      <alignment vertical="top"/>
    </xf>
    <xf numFmtId="0" fontId="1" fillId="2" borderId="9" xfId="0" applyFont="1" applyFill="1" applyBorder="1" applyAlignment="1">
      <alignment vertical="top"/>
    </xf>
    <xf numFmtId="0" fontId="1" fillId="2" borderId="8" xfId="0" applyFont="1" applyFill="1" applyBorder="1" applyAlignment="1">
      <alignment vertical="top"/>
    </xf>
    <xf numFmtId="0" fontId="25" fillId="0" borderId="1" xfId="0" applyFont="1" applyBorder="1" applyAlignment="1">
      <alignment horizontal="right"/>
    </xf>
    <xf numFmtId="0" fontId="25" fillId="0" borderId="10" xfId="0" applyFont="1" applyBorder="1" applyAlignment="1">
      <alignment horizontal="right"/>
    </xf>
    <xf numFmtId="0" fontId="25" fillId="0" borderId="11" xfId="0" applyFont="1" applyBorder="1" applyAlignment="1">
      <alignment horizontal="right"/>
    </xf>
    <xf numFmtId="0" fontId="25" fillId="0" borderId="14" xfId="0" applyFont="1" applyBorder="1" applyAlignment="1">
      <alignment horizontal="right"/>
    </xf>
    <xf numFmtId="0" fontId="25" fillId="0" borderId="17" xfId="0" applyFont="1" applyBorder="1" applyAlignment="1">
      <alignment horizontal="right"/>
    </xf>
    <xf numFmtId="0" fontId="27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8" fillId="11" borderId="12" xfId="0" applyFont="1" applyFill="1" applyBorder="1" applyAlignment="1">
      <alignment horizontal="center" vertical="center"/>
    </xf>
    <xf numFmtId="0" fontId="0" fillId="13" borderId="0" xfId="0" applyFill="1"/>
    <xf numFmtId="0" fontId="24" fillId="13" borderId="0" xfId="0" applyFont="1" applyFill="1"/>
    <xf numFmtId="0" fontId="24" fillId="13" borderId="0" xfId="0" applyFont="1" applyFill="1" applyAlignment="1">
      <alignment vertical="center" wrapText="1"/>
    </xf>
    <xf numFmtId="0" fontId="0" fillId="13" borderId="0" xfId="0" applyFill="1" applyAlignment="1">
      <alignment horizontal="right"/>
    </xf>
    <xf numFmtId="0" fontId="4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21" fillId="8" borderId="0" xfId="1" applyFont="1" applyAlignment="1">
      <alignment horizontal="center"/>
    </xf>
    <xf numFmtId="0" fontId="29" fillId="12" borderId="18" xfId="0" quotePrefix="1" applyFont="1" applyFill="1" applyBorder="1" applyAlignment="1">
      <alignment horizontal="left" vertical="top" wrapText="1"/>
    </xf>
    <xf numFmtId="0" fontId="29" fillId="12" borderId="19" xfId="0" applyFont="1" applyFill="1" applyBorder="1" applyAlignment="1">
      <alignment horizontal="left" vertical="top" wrapText="1"/>
    </xf>
    <xf numFmtId="0" fontId="29" fillId="12" borderId="20" xfId="0" applyFont="1" applyFill="1" applyBorder="1" applyAlignment="1">
      <alignment horizontal="left" vertical="top" wrapText="1"/>
    </xf>
    <xf numFmtId="0" fontId="28" fillId="11" borderId="29" xfId="0" applyFont="1" applyFill="1" applyBorder="1" applyAlignment="1">
      <alignment horizontal="center" vertical="center" wrapText="1"/>
    </xf>
    <xf numFmtId="0" fontId="28" fillId="11" borderId="30" xfId="0" applyFont="1" applyFill="1" applyBorder="1" applyAlignment="1">
      <alignment horizontal="center" vertical="center" wrapText="1"/>
    </xf>
    <xf numFmtId="0" fontId="28" fillId="11" borderId="31" xfId="0" applyFont="1" applyFill="1" applyBorder="1" applyAlignment="1">
      <alignment horizontal="center" vertical="center" wrapText="1"/>
    </xf>
    <xf numFmtId="0" fontId="0" fillId="12" borderId="21" xfId="0" applyFill="1" applyBorder="1" applyAlignment="1">
      <alignment horizontal="center"/>
    </xf>
    <xf numFmtId="0" fontId="0" fillId="12" borderId="22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0" fillId="12" borderId="2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25" xfId="0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27" xfId="0" applyFill="1" applyBorder="1" applyAlignment="1">
      <alignment horizontal="center"/>
    </xf>
    <xf numFmtId="0" fontId="0" fillId="12" borderId="28" xfId="0" applyFill="1" applyBorder="1" applyAlignment="1">
      <alignment horizontal="center"/>
    </xf>
    <xf numFmtId="0" fontId="0" fillId="11" borderId="21" xfId="0" applyFill="1" applyBorder="1" applyAlignment="1">
      <alignment horizontal="center"/>
    </xf>
    <xf numFmtId="0" fontId="0" fillId="11" borderId="22" xfId="0" applyFill="1" applyBorder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11" borderId="24" xfId="0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11" borderId="25" xfId="0" applyFill="1" applyBorder="1" applyAlignment="1">
      <alignment horizontal="center"/>
    </xf>
    <xf numFmtId="0" fontId="0" fillId="11" borderId="26" xfId="0" applyFill="1" applyBorder="1" applyAlignment="1">
      <alignment horizontal="center"/>
    </xf>
    <xf numFmtId="0" fontId="0" fillId="11" borderId="27" xfId="0" applyFill="1" applyBorder="1" applyAlignment="1">
      <alignment horizontal="center"/>
    </xf>
    <xf numFmtId="0" fontId="0" fillId="11" borderId="28" xfId="0" applyFill="1" applyBorder="1" applyAlignment="1">
      <alignment horizontal="center"/>
    </xf>
    <xf numFmtId="0" fontId="23" fillId="9" borderId="1" xfId="0" applyFont="1" applyFill="1" applyBorder="1" applyAlignment="1">
      <alignment horizontal="center" vertical="center"/>
    </xf>
    <xf numFmtId="0" fontId="26" fillId="9" borderId="13" xfId="0" applyFont="1" applyFill="1" applyBorder="1" applyAlignment="1">
      <alignment horizontal="center" vertical="center" wrapText="1"/>
    </xf>
    <xf numFmtId="0" fontId="26" fillId="9" borderId="15" xfId="0" applyFont="1" applyFill="1" applyBorder="1" applyAlignment="1">
      <alignment horizontal="center" vertical="center" wrapText="1"/>
    </xf>
    <xf numFmtId="0" fontId="26" fillId="9" borderId="16" xfId="0" applyFont="1" applyFill="1" applyBorder="1" applyAlignment="1">
      <alignment horizontal="center" vertical="center" wrapText="1"/>
    </xf>
    <xf numFmtId="0" fontId="23" fillId="10" borderId="1" xfId="0" applyFont="1" applyFill="1" applyBorder="1" applyAlignment="1">
      <alignment horizontal="center" vertical="center"/>
    </xf>
  </cellXfs>
  <cellStyles count="2">
    <cellStyle name="Accent2" xfId="1" builtinId="33"/>
    <cellStyle name="Normal" xfId="0" builtinId="0"/>
  </cellStyles>
  <dxfs count="45"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1"/>
      </font>
      <fill>
        <patternFill>
          <bgColor theme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2</xdr:row>
          <xdr:rowOff>66675</xdr:rowOff>
        </xdr:from>
        <xdr:to>
          <xdr:col>5</xdr:col>
          <xdr:colOff>581025</xdr:colOff>
          <xdr:row>7</xdr:row>
          <xdr:rowOff>104775</xdr:rowOff>
        </xdr:to>
        <xdr:sp macro="" textlink="">
          <xdr:nvSpPr>
            <xdr:cNvPr id="5121" name="NOWYSOLDTO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9</xdr:row>
          <xdr:rowOff>57150</xdr:rowOff>
        </xdr:from>
        <xdr:to>
          <xdr:col>5</xdr:col>
          <xdr:colOff>581025</xdr:colOff>
          <xdr:row>14</xdr:row>
          <xdr:rowOff>95250</xdr:rowOff>
        </xdr:to>
        <xdr:sp macro="" textlink="">
          <xdr:nvSpPr>
            <xdr:cNvPr id="5123" name="NOWYPAYER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0F0D08-15E0-4B38-B37C-2661473BD9E0}" name="tableWoj" displayName="tableWoj" ref="B116:C132" totalsRowShown="0" headerRowDxfId="43" dataDxfId="42">
  <autoFilter ref="B116:C132" xr:uid="{7D0F0D08-15E0-4B38-B37C-2661473BD9E0}"/>
  <sortState xmlns:xlrd2="http://schemas.microsoft.com/office/spreadsheetml/2017/richdata2" ref="B117:B132">
    <sortCondition ref="B116:B132"/>
  </sortState>
  <tableColumns count="2">
    <tableColumn id="1" xr3:uid="{8041BC3B-16F0-49F7-AF3C-2E50FD279A6E}" name="WOJEWÓDZTWA" dataDxfId="41">
      <calculatedColumnFormula>UPPER(A117)</calculatedColumnFormula>
    </tableColumn>
    <tableColumn id="2" xr3:uid="{34B5668A-EC3F-44E9-B6D3-5C7003791509}" name="Column1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535A45-1F1B-4EE7-AEAF-04DD1FBA83EA}" name="tableCenniki" displayName="tableCenniki" ref="Q1:Q5" totalsRowShown="0" headerRowDxfId="39" dataDxfId="38">
  <autoFilter ref="Q1:Q5" xr:uid="{F2535A45-1F1B-4EE7-AEAF-04DD1FBA83EA}"/>
  <tableColumns count="1">
    <tableColumn id="1" xr3:uid="{774C27C4-3501-4452-BCDB-A3B5AD9D16B7}" name="Cenniki" dataDxfId="3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B416C1A-35F9-445A-8A99-ABF8236910D6}" name="tablePT" displayName="tablePT" ref="A138:A205" totalsRowShown="0">
  <autoFilter ref="A138:A205" xr:uid="{7B416C1A-35F9-445A-8A99-ABF8236910D6}"/>
  <tableColumns count="1">
    <tableColumn id="1" xr3:uid="{7BC78BB8-D78E-4307-8D78-3EC3B35A6B07}" name="Payment Terms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BF242FD-BAE8-456F-8AAD-07F415C43B18}" name="tablegrp1" displayName="tablegrp1" ref="C139:C147" totalsRowShown="0" headerRowDxfId="36" dataDxfId="34" headerRowBorderDxfId="35" tableBorderDxfId="33" totalsRowBorderDxfId="32">
  <autoFilter ref="C139:C147" xr:uid="{3BF242FD-BAE8-456F-8AAD-07F415C43B18}"/>
  <tableColumns count="1">
    <tableColumn id="1" xr3:uid="{DCA1674C-215A-49EC-9E92-FA263E622345}" name="grp1" dataDxfId="3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59"/>
  <sheetViews>
    <sheetView topLeftCell="A61" workbookViewId="0">
      <selection activeCell="C89" sqref="C89"/>
    </sheetView>
  </sheetViews>
  <sheetFormatPr defaultRowHeight="15" x14ac:dyDescent="0.25"/>
  <cols>
    <col min="1" max="1" width="23.28515625" bestFit="1" customWidth="1"/>
    <col min="2" max="2" width="27.7109375" bestFit="1" customWidth="1"/>
    <col min="3" max="3" width="28.7109375" bestFit="1" customWidth="1"/>
    <col min="4" max="4" width="28" bestFit="1" customWidth="1"/>
  </cols>
  <sheetData>
    <row r="1" spans="1:9" x14ac:dyDescent="0.25">
      <c r="A1" s="46" t="s">
        <v>0</v>
      </c>
      <c r="B1" s="47" t="s">
        <v>1</v>
      </c>
      <c r="C1" s="1" t="s">
        <v>2</v>
      </c>
      <c r="D1" s="1" t="s">
        <v>3</v>
      </c>
      <c r="I1" s="2"/>
    </row>
    <row r="2" spans="1:9" x14ac:dyDescent="0.25">
      <c r="A2" s="47"/>
      <c r="B2" s="47"/>
      <c r="C2" s="47" t="s">
        <v>4</v>
      </c>
      <c r="D2" s="1" t="s">
        <v>5</v>
      </c>
    </row>
    <row r="3" spans="1:9" x14ac:dyDescent="0.25">
      <c r="A3" s="47"/>
      <c r="B3" s="47"/>
      <c r="C3" s="47"/>
      <c r="D3" s="1" t="s">
        <v>6</v>
      </c>
    </row>
    <row r="4" spans="1:9" x14ac:dyDescent="0.25">
      <c r="A4" s="47"/>
      <c r="B4" s="47"/>
      <c r="C4" s="47" t="s">
        <v>7</v>
      </c>
      <c r="D4" s="1" t="s">
        <v>8</v>
      </c>
    </row>
    <row r="5" spans="1:9" x14ac:dyDescent="0.25">
      <c r="A5" s="47"/>
      <c r="B5" s="47"/>
      <c r="C5" s="47"/>
      <c r="D5" s="1" t="s">
        <v>9</v>
      </c>
    </row>
    <row r="6" spans="1:9" x14ac:dyDescent="0.25">
      <c r="A6" s="47"/>
      <c r="B6" s="47"/>
      <c r="C6" s="47"/>
      <c r="D6" s="1" t="s">
        <v>10</v>
      </c>
    </row>
    <row r="7" spans="1:9" x14ac:dyDescent="0.25">
      <c r="A7" s="47"/>
      <c r="B7" s="47"/>
      <c r="C7" s="47"/>
      <c r="D7" s="1" t="s">
        <v>11</v>
      </c>
    </row>
    <row r="8" spans="1:9" x14ac:dyDescent="0.25">
      <c r="A8" s="47"/>
      <c r="B8" s="47"/>
      <c r="C8" s="47" t="s">
        <v>12</v>
      </c>
      <c r="D8" s="1" t="s">
        <v>13</v>
      </c>
    </row>
    <row r="9" spans="1:9" x14ac:dyDescent="0.25">
      <c r="A9" s="47"/>
      <c r="B9" s="47"/>
      <c r="C9" s="47"/>
      <c r="D9" s="1" t="s">
        <v>14</v>
      </c>
    </row>
    <row r="10" spans="1:9" x14ac:dyDescent="0.25">
      <c r="A10" s="47"/>
      <c r="B10" s="47"/>
      <c r="C10" s="47" t="s">
        <v>15</v>
      </c>
      <c r="D10" s="1" t="s">
        <v>16</v>
      </c>
    </row>
    <row r="11" spans="1:9" x14ac:dyDescent="0.25">
      <c r="A11" s="47"/>
      <c r="B11" s="47"/>
      <c r="C11" s="47"/>
      <c r="D11" s="1" t="s">
        <v>17</v>
      </c>
    </row>
    <row r="12" spans="1:9" x14ac:dyDescent="0.25">
      <c r="A12" s="47"/>
      <c r="B12" s="47"/>
      <c r="C12" s="47"/>
      <c r="D12" s="1" t="s">
        <v>18</v>
      </c>
    </row>
    <row r="13" spans="1:9" x14ac:dyDescent="0.25">
      <c r="A13" s="47"/>
      <c r="B13" s="47"/>
      <c r="C13" s="47"/>
      <c r="D13" s="1" t="s">
        <v>19</v>
      </c>
    </row>
    <row r="14" spans="1:9" x14ac:dyDescent="0.25">
      <c r="A14" s="47"/>
      <c r="B14" s="47"/>
      <c r="C14" s="47"/>
      <c r="D14" s="1" t="s">
        <v>20</v>
      </c>
    </row>
    <row r="15" spans="1:9" x14ac:dyDescent="0.25">
      <c r="A15" s="47"/>
      <c r="B15" s="47"/>
      <c r="C15" s="47"/>
      <c r="D15" s="1" t="s">
        <v>21</v>
      </c>
    </row>
    <row r="16" spans="1:9" x14ac:dyDescent="0.25">
      <c r="A16" s="47"/>
      <c r="B16" s="47"/>
      <c r="C16" s="47"/>
      <c r="D16" s="1" t="s">
        <v>22</v>
      </c>
    </row>
    <row r="17" spans="1:4" x14ac:dyDescent="0.25">
      <c r="A17" s="47"/>
      <c r="B17" s="47"/>
      <c r="C17" s="47"/>
      <c r="D17" s="1" t="s">
        <v>23</v>
      </c>
    </row>
    <row r="18" spans="1:4" x14ac:dyDescent="0.25">
      <c r="A18" s="47"/>
      <c r="B18" s="47"/>
      <c r="C18" s="47"/>
      <c r="D18" s="1" t="s">
        <v>24</v>
      </c>
    </row>
    <row r="19" spans="1:4" x14ac:dyDescent="0.25">
      <c r="A19" s="47"/>
      <c r="B19" s="47"/>
      <c r="C19" s="47" t="s">
        <v>25</v>
      </c>
      <c r="D19" s="1" t="s">
        <v>26</v>
      </c>
    </row>
    <row r="20" spans="1:4" x14ac:dyDescent="0.25">
      <c r="A20" s="47"/>
      <c r="B20" s="47"/>
      <c r="C20" s="47"/>
      <c r="D20" s="1" t="s">
        <v>27</v>
      </c>
    </row>
    <row r="21" spans="1:4" x14ac:dyDescent="0.25">
      <c r="A21" s="47"/>
      <c r="B21" s="47"/>
      <c r="C21" s="47"/>
      <c r="D21" s="1" t="s">
        <v>28</v>
      </c>
    </row>
    <row r="22" spans="1:4" x14ac:dyDescent="0.25">
      <c r="A22" s="47"/>
      <c r="B22" s="47"/>
      <c r="C22" s="1" t="s">
        <v>29</v>
      </c>
      <c r="D22" s="1" t="s">
        <v>30</v>
      </c>
    </row>
    <row r="23" spans="1:4" x14ac:dyDescent="0.25">
      <c r="A23" s="47"/>
      <c r="B23" s="47"/>
      <c r="C23" s="47" t="s">
        <v>31</v>
      </c>
      <c r="D23" s="1" t="s">
        <v>32</v>
      </c>
    </row>
    <row r="24" spans="1:4" x14ac:dyDescent="0.25">
      <c r="A24" s="47"/>
      <c r="B24" s="47"/>
      <c r="C24" s="47"/>
      <c r="D24" s="1" t="s">
        <v>33</v>
      </c>
    </row>
    <row r="25" spans="1:4" x14ac:dyDescent="0.25">
      <c r="A25" s="47"/>
      <c r="B25" s="47"/>
      <c r="C25" s="47"/>
      <c r="D25" s="1" t="s">
        <v>34</v>
      </c>
    </row>
    <row r="26" spans="1:4" x14ac:dyDescent="0.25">
      <c r="A26" s="47"/>
      <c r="B26" s="47"/>
      <c r="C26" s="1" t="s">
        <v>35</v>
      </c>
      <c r="D26" s="1" t="s">
        <v>36</v>
      </c>
    </row>
    <row r="27" spans="1:4" x14ac:dyDescent="0.25">
      <c r="A27" s="47"/>
      <c r="B27" s="47" t="s">
        <v>37</v>
      </c>
      <c r="C27" s="47" t="s">
        <v>38</v>
      </c>
      <c r="D27" s="1" t="s">
        <v>39</v>
      </c>
    </row>
    <row r="28" spans="1:4" x14ac:dyDescent="0.25">
      <c r="A28" s="47"/>
      <c r="B28" s="47"/>
      <c r="C28" s="47"/>
      <c r="D28" s="1" t="s">
        <v>40</v>
      </c>
    </row>
    <row r="29" spans="1:4" x14ac:dyDescent="0.25">
      <c r="A29" s="47"/>
      <c r="B29" s="47"/>
      <c r="C29" s="47" t="s">
        <v>41</v>
      </c>
      <c r="D29" s="1" t="s">
        <v>42</v>
      </c>
    </row>
    <row r="30" spans="1:4" x14ac:dyDescent="0.25">
      <c r="A30" s="47"/>
      <c r="B30" s="47"/>
      <c r="C30" s="47"/>
      <c r="D30" s="1" t="s">
        <v>43</v>
      </c>
    </row>
    <row r="31" spans="1:4" x14ac:dyDescent="0.25">
      <c r="A31" s="47"/>
      <c r="B31" s="47"/>
      <c r="C31" s="47" t="s">
        <v>44</v>
      </c>
      <c r="D31" s="1" t="s">
        <v>45</v>
      </c>
    </row>
    <row r="32" spans="1:4" x14ac:dyDescent="0.25">
      <c r="A32" s="47"/>
      <c r="B32" s="47"/>
      <c r="C32" s="47"/>
      <c r="D32" s="1" t="s">
        <v>46</v>
      </c>
    </row>
    <row r="33" spans="1:4" x14ac:dyDescent="0.25">
      <c r="A33" s="47"/>
      <c r="B33" s="47"/>
      <c r="C33" s="47" t="s">
        <v>47</v>
      </c>
      <c r="D33" s="1" t="s">
        <v>48</v>
      </c>
    </row>
    <row r="34" spans="1:4" x14ac:dyDescent="0.25">
      <c r="A34" s="47"/>
      <c r="B34" s="47"/>
      <c r="C34" s="47"/>
      <c r="D34" s="1" t="s">
        <v>49</v>
      </c>
    </row>
    <row r="35" spans="1:4" x14ac:dyDescent="0.25">
      <c r="A35" s="47"/>
      <c r="B35" s="47"/>
      <c r="C35" s="47" t="s">
        <v>50</v>
      </c>
      <c r="D35" s="1" t="s">
        <v>51</v>
      </c>
    </row>
    <row r="36" spans="1:4" x14ac:dyDescent="0.25">
      <c r="A36" s="47"/>
      <c r="B36" s="47"/>
      <c r="C36" s="47"/>
      <c r="D36" s="1" t="s">
        <v>52</v>
      </c>
    </row>
    <row r="37" spans="1:4" x14ac:dyDescent="0.25">
      <c r="A37" s="47"/>
      <c r="B37" s="47"/>
      <c r="C37" s="47" t="s">
        <v>53</v>
      </c>
      <c r="D37" s="1" t="s">
        <v>54</v>
      </c>
    </row>
    <row r="38" spans="1:4" x14ac:dyDescent="0.25">
      <c r="A38" s="47"/>
      <c r="B38" s="47"/>
      <c r="C38" s="47"/>
      <c r="D38" s="1" t="s">
        <v>55</v>
      </c>
    </row>
    <row r="39" spans="1:4" x14ac:dyDescent="0.25">
      <c r="A39" s="47"/>
      <c r="B39" s="47"/>
      <c r="C39" s="47" t="s">
        <v>56</v>
      </c>
      <c r="D39" s="1" t="s">
        <v>57</v>
      </c>
    </row>
    <row r="40" spans="1:4" x14ac:dyDescent="0.25">
      <c r="A40" s="47"/>
      <c r="B40" s="47"/>
      <c r="C40" s="47"/>
      <c r="D40" s="1" t="s">
        <v>58</v>
      </c>
    </row>
    <row r="41" spans="1:4" x14ac:dyDescent="0.25">
      <c r="A41" s="47"/>
      <c r="B41" s="47" t="s">
        <v>59</v>
      </c>
      <c r="C41" s="1" t="s">
        <v>60</v>
      </c>
      <c r="D41" s="1" t="s">
        <v>61</v>
      </c>
    </row>
    <row r="42" spans="1:4" x14ac:dyDescent="0.25">
      <c r="A42" s="47"/>
      <c r="B42" s="47"/>
      <c r="C42" s="1" t="s">
        <v>62</v>
      </c>
      <c r="D42" s="1" t="s">
        <v>63</v>
      </c>
    </row>
    <row r="43" spans="1:4" x14ac:dyDescent="0.25">
      <c r="A43" s="47"/>
      <c r="B43" s="47" t="s">
        <v>64</v>
      </c>
      <c r="C43" s="47" t="s">
        <v>65</v>
      </c>
      <c r="D43" s="1" t="s">
        <v>66</v>
      </c>
    </row>
    <row r="44" spans="1:4" x14ac:dyDescent="0.25">
      <c r="A44" s="47"/>
      <c r="B44" s="47"/>
      <c r="C44" s="47"/>
      <c r="D44" s="1" t="s">
        <v>67</v>
      </c>
    </row>
    <row r="45" spans="1:4" x14ac:dyDescent="0.25">
      <c r="A45" s="47"/>
      <c r="B45" s="47"/>
      <c r="C45" s="47"/>
      <c r="D45" s="1" t="s">
        <v>68</v>
      </c>
    </row>
    <row r="46" spans="1:4" x14ac:dyDescent="0.25">
      <c r="A46" s="47"/>
      <c r="B46" s="47"/>
      <c r="C46" s="47"/>
      <c r="D46" s="1" t="s">
        <v>69</v>
      </c>
    </row>
    <row r="47" spans="1:4" x14ac:dyDescent="0.25">
      <c r="A47" s="47"/>
      <c r="B47" s="47"/>
      <c r="C47" s="47"/>
      <c r="D47" s="1" t="s">
        <v>70</v>
      </c>
    </row>
    <row r="48" spans="1:4" x14ac:dyDescent="0.25">
      <c r="A48" s="47"/>
      <c r="B48" s="47"/>
      <c r="C48" s="47"/>
      <c r="D48" s="1" t="s">
        <v>71</v>
      </c>
    </row>
    <row r="49" spans="1:4" x14ac:dyDescent="0.25">
      <c r="A49" s="47"/>
      <c r="B49" s="47"/>
      <c r="C49" s="1" t="s">
        <v>72</v>
      </c>
      <c r="D49" s="1" t="s">
        <v>73</v>
      </c>
    </row>
    <row r="50" spans="1:4" x14ac:dyDescent="0.25">
      <c r="A50" s="47"/>
      <c r="B50" s="47"/>
      <c r="C50" s="47" t="s">
        <v>74</v>
      </c>
      <c r="D50" s="1" t="s">
        <v>75</v>
      </c>
    </row>
    <row r="51" spans="1:4" x14ac:dyDescent="0.25">
      <c r="A51" s="47"/>
      <c r="B51" s="47"/>
      <c r="C51" s="47"/>
      <c r="D51" s="1" t="s">
        <v>76</v>
      </c>
    </row>
    <row r="52" spans="1:4" x14ac:dyDescent="0.25">
      <c r="A52" s="47"/>
      <c r="B52" s="47"/>
      <c r="C52" s="47"/>
      <c r="D52" s="1" t="s">
        <v>77</v>
      </c>
    </row>
    <row r="53" spans="1:4" x14ac:dyDescent="0.25">
      <c r="A53" s="47"/>
      <c r="B53" s="47"/>
      <c r="C53" s="1" t="s">
        <v>78</v>
      </c>
      <c r="D53" s="1" t="s">
        <v>79</v>
      </c>
    </row>
    <row r="54" spans="1:4" x14ac:dyDescent="0.25">
      <c r="A54" s="47"/>
      <c r="B54" s="47"/>
      <c r="C54" s="1" t="s">
        <v>80</v>
      </c>
      <c r="D54" s="1" t="s">
        <v>81</v>
      </c>
    </row>
    <row r="55" spans="1:4" x14ac:dyDescent="0.25">
      <c r="A55" s="47" t="s">
        <v>82</v>
      </c>
      <c r="B55" s="1" t="s">
        <v>83</v>
      </c>
      <c r="C55" s="1" t="s">
        <v>84</v>
      </c>
      <c r="D55" s="1" t="s">
        <v>85</v>
      </c>
    </row>
    <row r="56" spans="1:4" x14ac:dyDescent="0.25">
      <c r="A56" s="47"/>
      <c r="B56" s="1" t="s">
        <v>86</v>
      </c>
      <c r="C56" s="1" t="s">
        <v>87</v>
      </c>
      <c r="D56" s="1" t="s">
        <v>88</v>
      </c>
    </row>
    <row r="57" spans="1:4" x14ac:dyDescent="0.25">
      <c r="A57" s="47"/>
      <c r="B57" s="1" t="s">
        <v>89</v>
      </c>
      <c r="C57" s="1" t="s">
        <v>90</v>
      </c>
      <c r="D57" s="1" t="s">
        <v>91</v>
      </c>
    </row>
    <row r="58" spans="1:4" x14ac:dyDescent="0.25">
      <c r="A58" s="47"/>
      <c r="B58" s="1" t="s">
        <v>92</v>
      </c>
      <c r="C58" s="1" t="s">
        <v>93</v>
      </c>
      <c r="D58" s="1" t="s">
        <v>94</v>
      </c>
    </row>
    <row r="59" spans="1:4" x14ac:dyDescent="0.25">
      <c r="A59" s="47"/>
      <c r="B59" s="1" t="s">
        <v>95</v>
      </c>
      <c r="C59" s="1" t="s">
        <v>96</v>
      </c>
      <c r="D59" s="1" t="s">
        <v>97</v>
      </c>
    </row>
    <row r="60" spans="1:4" x14ac:dyDescent="0.25">
      <c r="A60" s="47"/>
      <c r="B60" s="1" t="s">
        <v>98</v>
      </c>
      <c r="C60" s="1" t="s">
        <v>99</v>
      </c>
      <c r="D60" s="1" t="s">
        <v>100</v>
      </c>
    </row>
    <row r="61" spans="1:4" x14ac:dyDescent="0.25">
      <c r="A61" s="47"/>
      <c r="B61" s="47" t="s">
        <v>101</v>
      </c>
      <c r="C61" s="1" t="s">
        <v>102</v>
      </c>
      <c r="D61" s="1" t="s">
        <v>103</v>
      </c>
    </row>
    <row r="62" spans="1:4" x14ac:dyDescent="0.25">
      <c r="A62" s="47"/>
      <c r="B62" s="47"/>
      <c r="C62" s="1" t="s">
        <v>104</v>
      </c>
      <c r="D62" s="1" t="s">
        <v>105</v>
      </c>
    </row>
    <row r="63" spans="1:4" x14ac:dyDescent="0.25">
      <c r="A63" s="47"/>
      <c r="B63" s="47"/>
      <c r="C63" s="1" t="s">
        <v>106</v>
      </c>
      <c r="D63" s="1" t="s">
        <v>107</v>
      </c>
    </row>
    <row r="64" spans="1:4" x14ac:dyDescent="0.25">
      <c r="A64" s="47"/>
      <c r="B64" s="47"/>
      <c r="C64" s="1" t="s">
        <v>108</v>
      </c>
      <c r="D64" s="1" t="s">
        <v>109</v>
      </c>
    </row>
    <row r="65" spans="1:4" x14ac:dyDescent="0.25">
      <c r="A65" s="47"/>
      <c r="B65" s="47"/>
      <c r="C65" s="1" t="s">
        <v>110</v>
      </c>
      <c r="D65" s="1" t="s">
        <v>111</v>
      </c>
    </row>
    <row r="66" spans="1:4" x14ac:dyDescent="0.25">
      <c r="A66" s="47"/>
      <c r="B66" s="1" t="s">
        <v>112</v>
      </c>
      <c r="C66" s="1" t="s">
        <v>113</v>
      </c>
      <c r="D66" s="1" t="s">
        <v>114</v>
      </c>
    </row>
    <row r="67" spans="1:4" x14ac:dyDescent="0.25">
      <c r="A67" s="47" t="s">
        <v>115</v>
      </c>
      <c r="B67" s="1" t="s">
        <v>116</v>
      </c>
      <c r="C67" s="1" t="s">
        <v>117</v>
      </c>
      <c r="D67" s="1" t="s">
        <v>118</v>
      </c>
    </row>
    <row r="68" spans="1:4" x14ac:dyDescent="0.25">
      <c r="A68" s="47"/>
      <c r="B68" s="1" t="s">
        <v>119</v>
      </c>
      <c r="C68" s="1" t="s">
        <v>120</v>
      </c>
      <c r="D68" s="1" t="s">
        <v>121</v>
      </c>
    </row>
    <row r="69" spans="1:4" x14ac:dyDescent="0.25">
      <c r="A69" s="47"/>
      <c r="B69" s="1" t="s">
        <v>122</v>
      </c>
      <c r="C69" s="1" t="s">
        <v>123</v>
      </c>
      <c r="D69" s="1" t="s">
        <v>124</v>
      </c>
    </row>
    <row r="70" spans="1:4" x14ac:dyDescent="0.25">
      <c r="A70" s="47"/>
      <c r="B70" s="47" t="s">
        <v>125</v>
      </c>
      <c r="C70" s="47" t="s">
        <v>126</v>
      </c>
      <c r="D70" s="1" t="s">
        <v>127</v>
      </c>
    </row>
    <row r="71" spans="1:4" x14ac:dyDescent="0.25">
      <c r="A71" s="47"/>
      <c r="B71" s="47"/>
      <c r="C71" s="47"/>
      <c r="D71" s="1" t="s">
        <v>128</v>
      </c>
    </row>
    <row r="72" spans="1:4" x14ac:dyDescent="0.25">
      <c r="A72" s="47"/>
      <c r="B72" s="47" t="s">
        <v>129</v>
      </c>
      <c r="C72" s="1" t="s">
        <v>130</v>
      </c>
      <c r="D72" s="1" t="s">
        <v>131</v>
      </c>
    </row>
    <row r="73" spans="1:4" x14ac:dyDescent="0.25">
      <c r="A73" s="47"/>
      <c r="B73" s="47"/>
      <c r="C73" s="1" t="s">
        <v>132</v>
      </c>
      <c r="D73" s="1" t="s">
        <v>133</v>
      </c>
    </row>
    <row r="74" spans="1:4" x14ac:dyDescent="0.25">
      <c r="A74" s="47"/>
      <c r="B74" s="47" t="s">
        <v>134</v>
      </c>
      <c r="C74" s="1" t="s">
        <v>135</v>
      </c>
      <c r="D74" s="1" t="s">
        <v>136</v>
      </c>
    </row>
    <row r="75" spans="1:4" x14ac:dyDescent="0.25">
      <c r="A75" s="47"/>
      <c r="B75" s="47"/>
      <c r="C75" s="1" t="s">
        <v>137</v>
      </c>
      <c r="D75" s="1" t="s">
        <v>138</v>
      </c>
    </row>
    <row r="76" spans="1:4" x14ac:dyDescent="0.25">
      <c r="A76" s="47"/>
      <c r="B76" s="1" t="s">
        <v>139</v>
      </c>
      <c r="C76" s="1" t="s">
        <v>140</v>
      </c>
      <c r="D76" s="1" t="s">
        <v>141</v>
      </c>
    </row>
    <row r="77" spans="1:4" x14ac:dyDescent="0.25">
      <c r="A77" s="47"/>
      <c r="B77" s="1" t="s">
        <v>142</v>
      </c>
      <c r="C77" s="1" t="s">
        <v>143</v>
      </c>
      <c r="D77" s="1" t="s">
        <v>144</v>
      </c>
    </row>
    <row r="78" spans="1:4" x14ac:dyDescent="0.25">
      <c r="A78" s="47"/>
      <c r="B78" s="1" t="s">
        <v>145</v>
      </c>
      <c r="C78" s="1" t="s">
        <v>146</v>
      </c>
      <c r="D78" s="1" t="s">
        <v>147</v>
      </c>
    </row>
    <row r="79" spans="1:4" x14ac:dyDescent="0.25">
      <c r="A79" s="47" t="s">
        <v>148</v>
      </c>
      <c r="B79" s="1" t="s">
        <v>149</v>
      </c>
      <c r="C79" s="1" t="s">
        <v>150</v>
      </c>
      <c r="D79" s="1" t="s">
        <v>151</v>
      </c>
    </row>
    <row r="80" spans="1:4" x14ac:dyDescent="0.25">
      <c r="A80" s="47"/>
      <c r="B80" s="1" t="s">
        <v>152</v>
      </c>
      <c r="C80" s="1" t="s">
        <v>153</v>
      </c>
      <c r="D80" s="1" t="s">
        <v>154</v>
      </c>
    </row>
    <row r="81" spans="1:4" x14ac:dyDescent="0.25">
      <c r="A81" s="47"/>
      <c r="B81" s="1" t="s">
        <v>155</v>
      </c>
      <c r="C81" s="1" t="s">
        <v>156</v>
      </c>
      <c r="D81" s="1" t="s">
        <v>157</v>
      </c>
    </row>
    <row r="82" spans="1:4" x14ac:dyDescent="0.25">
      <c r="A82" s="47"/>
      <c r="B82" s="47" t="s">
        <v>158</v>
      </c>
      <c r="C82" s="1" t="s">
        <v>159</v>
      </c>
      <c r="D82" s="1" t="s">
        <v>160</v>
      </c>
    </row>
    <row r="83" spans="1:4" x14ac:dyDescent="0.25">
      <c r="A83" s="47"/>
      <c r="B83" s="47"/>
      <c r="C83" s="1" t="s">
        <v>161</v>
      </c>
      <c r="D83" s="1" t="s">
        <v>162</v>
      </c>
    </row>
    <row r="84" spans="1:4" x14ac:dyDescent="0.25">
      <c r="A84" s="47"/>
      <c r="B84" s="47" t="s">
        <v>163</v>
      </c>
      <c r="C84" s="47" t="s">
        <v>164</v>
      </c>
      <c r="D84" s="1" t="s">
        <v>165</v>
      </c>
    </row>
    <row r="85" spans="1:4" x14ac:dyDescent="0.25">
      <c r="A85" s="47"/>
      <c r="B85" s="47"/>
      <c r="C85" s="47"/>
      <c r="D85" s="1" t="s">
        <v>166</v>
      </c>
    </row>
    <row r="86" spans="1:4" x14ac:dyDescent="0.25">
      <c r="A86" s="47" t="s">
        <v>167</v>
      </c>
      <c r="B86" s="47" t="s">
        <v>168</v>
      </c>
      <c r="C86" s="1" t="s">
        <v>169</v>
      </c>
      <c r="D86" s="1" t="s">
        <v>170</v>
      </c>
    </row>
    <row r="87" spans="1:4" x14ac:dyDescent="0.25">
      <c r="A87" s="47"/>
      <c r="B87" s="47"/>
      <c r="C87" s="1" t="s">
        <v>171</v>
      </c>
      <c r="D87" s="1" t="s">
        <v>172</v>
      </c>
    </row>
    <row r="88" spans="1:4" x14ac:dyDescent="0.25">
      <c r="A88" s="47"/>
      <c r="B88" s="47"/>
      <c r="C88" s="1" t="s">
        <v>173</v>
      </c>
      <c r="D88" s="1" t="s">
        <v>174</v>
      </c>
    </row>
    <row r="89" spans="1:4" x14ac:dyDescent="0.25">
      <c r="A89" s="47"/>
      <c r="B89" s="1" t="s">
        <v>175</v>
      </c>
      <c r="C89" s="1" t="s">
        <v>176</v>
      </c>
      <c r="D89" s="1" t="s">
        <v>177</v>
      </c>
    </row>
    <row r="90" spans="1:4" x14ac:dyDescent="0.25">
      <c r="A90" s="47"/>
      <c r="B90" s="1" t="s">
        <v>178</v>
      </c>
      <c r="C90" s="1" t="s">
        <v>179</v>
      </c>
      <c r="D90" s="1" t="s">
        <v>180</v>
      </c>
    </row>
    <row r="91" spans="1:4" x14ac:dyDescent="0.25">
      <c r="A91" s="47"/>
      <c r="B91" s="47" t="s">
        <v>181</v>
      </c>
      <c r="C91" s="47" t="s">
        <v>182</v>
      </c>
      <c r="D91" s="1" t="s">
        <v>183</v>
      </c>
    </row>
    <row r="92" spans="1:4" x14ac:dyDescent="0.25">
      <c r="A92" s="47"/>
      <c r="B92" s="47"/>
      <c r="C92" s="47"/>
      <c r="D92" s="1" t="s">
        <v>184</v>
      </c>
    </row>
    <row r="93" spans="1:4" x14ac:dyDescent="0.25">
      <c r="A93" s="47"/>
      <c r="B93" s="47"/>
      <c r="C93" s="47" t="s">
        <v>185</v>
      </c>
      <c r="D93" s="1" t="s">
        <v>186</v>
      </c>
    </row>
    <row r="94" spans="1:4" x14ac:dyDescent="0.25">
      <c r="A94" s="47"/>
      <c r="B94" s="47"/>
      <c r="C94" s="47"/>
      <c r="D94" s="1" t="s">
        <v>187</v>
      </c>
    </row>
    <row r="95" spans="1:4" x14ac:dyDescent="0.25">
      <c r="A95" s="47"/>
      <c r="B95" s="47"/>
      <c r="C95" s="47" t="s">
        <v>188</v>
      </c>
      <c r="D95" s="1" t="s">
        <v>189</v>
      </c>
    </row>
    <row r="96" spans="1:4" x14ac:dyDescent="0.25">
      <c r="A96" s="47"/>
      <c r="B96" s="47"/>
      <c r="C96" s="47"/>
      <c r="D96" s="1" t="s">
        <v>190</v>
      </c>
    </row>
    <row r="97" spans="1:4" x14ac:dyDescent="0.25">
      <c r="A97" s="47"/>
      <c r="B97" s="47"/>
      <c r="C97" s="1" t="s">
        <v>191</v>
      </c>
      <c r="D97" s="1" t="s">
        <v>192</v>
      </c>
    </row>
    <row r="98" spans="1:4" x14ac:dyDescent="0.25">
      <c r="A98" s="47"/>
      <c r="B98" s="47" t="s">
        <v>193</v>
      </c>
      <c r="C98" s="1" t="s">
        <v>194</v>
      </c>
      <c r="D98" s="1" t="s">
        <v>195</v>
      </c>
    </row>
    <row r="99" spans="1:4" x14ac:dyDescent="0.25">
      <c r="A99" s="47"/>
      <c r="B99" s="47"/>
      <c r="C99" s="47" t="s">
        <v>196</v>
      </c>
      <c r="D99" s="1" t="s">
        <v>197</v>
      </c>
    </row>
    <row r="100" spans="1:4" x14ac:dyDescent="0.25">
      <c r="A100" s="47"/>
      <c r="B100" s="47"/>
      <c r="C100" s="47"/>
      <c r="D100" s="1" t="s">
        <v>198</v>
      </c>
    </row>
    <row r="101" spans="1:4" x14ac:dyDescent="0.25">
      <c r="A101" s="47"/>
      <c r="B101" s="47"/>
      <c r="C101" s="47"/>
      <c r="D101" s="1" t="s">
        <v>199</v>
      </c>
    </row>
    <row r="102" spans="1:4" x14ac:dyDescent="0.25">
      <c r="A102" s="47"/>
      <c r="B102" s="47"/>
      <c r="C102" s="47"/>
      <c r="D102" s="1" t="s">
        <v>200</v>
      </c>
    </row>
    <row r="103" spans="1:4" x14ac:dyDescent="0.25">
      <c r="A103" s="47"/>
      <c r="B103" s="47"/>
      <c r="C103" s="47"/>
      <c r="D103" s="1" t="s">
        <v>201</v>
      </c>
    </row>
    <row r="104" spans="1:4" x14ac:dyDescent="0.25">
      <c r="A104" s="47"/>
      <c r="B104" s="47"/>
      <c r="C104" s="47"/>
      <c r="D104" s="1" t="s">
        <v>202</v>
      </c>
    </row>
    <row r="105" spans="1:4" x14ac:dyDescent="0.25">
      <c r="A105" s="47"/>
      <c r="B105" s="47"/>
      <c r="C105" s="1" t="s">
        <v>203</v>
      </c>
      <c r="D105" s="1" t="s">
        <v>204</v>
      </c>
    </row>
    <row r="106" spans="1:4" x14ac:dyDescent="0.25">
      <c r="A106" s="47"/>
      <c r="B106" s="47"/>
      <c r="C106" s="1" t="s">
        <v>205</v>
      </c>
      <c r="D106" s="1" t="s">
        <v>206</v>
      </c>
    </row>
    <row r="107" spans="1:4" x14ac:dyDescent="0.25">
      <c r="A107" s="47"/>
      <c r="B107" s="47"/>
      <c r="C107" s="47" t="s">
        <v>207</v>
      </c>
      <c r="D107" s="1" t="s">
        <v>208</v>
      </c>
    </row>
    <row r="108" spans="1:4" x14ac:dyDescent="0.25">
      <c r="A108" s="47"/>
      <c r="B108" s="47"/>
      <c r="C108" s="47"/>
      <c r="D108" s="1" t="s">
        <v>209</v>
      </c>
    </row>
    <row r="109" spans="1:4" x14ac:dyDescent="0.25">
      <c r="A109" s="47"/>
      <c r="B109" s="47"/>
      <c r="C109" s="47"/>
      <c r="D109" s="1" t="s">
        <v>210</v>
      </c>
    </row>
    <row r="110" spans="1:4" x14ac:dyDescent="0.25">
      <c r="A110" s="47"/>
      <c r="B110" s="47"/>
      <c r="C110" s="47"/>
      <c r="D110" s="1" t="s">
        <v>211</v>
      </c>
    </row>
    <row r="111" spans="1:4" x14ac:dyDescent="0.25">
      <c r="A111" s="47"/>
      <c r="B111" s="47"/>
      <c r="C111" s="47"/>
      <c r="D111" s="1" t="s">
        <v>212</v>
      </c>
    </row>
    <row r="112" spans="1:4" x14ac:dyDescent="0.25">
      <c r="A112" s="47"/>
      <c r="B112" s="47"/>
      <c r="C112" s="47"/>
      <c r="D112" s="1" t="s">
        <v>213</v>
      </c>
    </row>
    <row r="113" spans="1:4" x14ac:dyDescent="0.25">
      <c r="A113" s="47"/>
      <c r="B113" s="47"/>
      <c r="C113" s="47"/>
      <c r="D113" s="1" t="s">
        <v>214</v>
      </c>
    </row>
    <row r="114" spans="1:4" x14ac:dyDescent="0.25">
      <c r="A114" s="47"/>
      <c r="B114" s="47"/>
      <c r="C114" s="47"/>
      <c r="D114" s="1" t="s">
        <v>215</v>
      </c>
    </row>
    <row r="115" spans="1:4" x14ac:dyDescent="0.25">
      <c r="A115" s="47"/>
      <c r="B115" s="47"/>
      <c r="C115" s="47" t="s">
        <v>216</v>
      </c>
      <c r="D115" s="1" t="s">
        <v>217</v>
      </c>
    </row>
    <row r="116" spans="1:4" x14ac:dyDescent="0.25">
      <c r="A116" s="47"/>
      <c r="B116" s="47"/>
      <c r="C116" s="47"/>
      <c r="D116" s="1" t="s">
        <v>218</v>
      </c>
    </row>
    <row r="117" spans="1:4" x14ac:dyDescent="0.25">
      <c r="A117" s="47"/>
      <c r="B117" s="47"/>
      <c r="C117" s="47"/>
      <c r="D117" s="1" t="s">
        <v>219</v>
      </c>
    </row>
    <row r="118" spans="1:4" x14ac:dyDescent="0.25">
      <c r="A118" s="47"/>
      <c r="B118" s="1" t="s">
        <v>220</v>
      </c>
      <c r="C118" s="1" t="s">
        <v>221</v>
      </c>
      <c r="D118" s="1" t="s">
        <v>222</v>
      </c>
    </row>
    <row r="119" spans="1:4" x14ac:dyDescent="0.25">
      <c r="A119" s="47" t="s">
        <v>223</v>
      </c>
      <c r="B119" s="1" t="s">
        <v>224</v>
      </c>
      <c r="C119" s="1" t="s">
        <v>225</v>
      </c>
      <c r="D119" s="1" t="s">
        <v>226</v>
      </c>
    </row>
    <row r="120" spans="1:4" x14ac:dyDescent="0.25">
      <c r="A120" s="47"/>
      <c r="B120" s="47" t="s">
        <v>227</v>
      </c>
      <c r="C120" s="47" t="s">
        <v>228</v>
      </c>
      <c r="D120" s="1" t="s">
        <v>229</v>
      </c>
    </row>
    <row r="121" spans="1:4" x14ac:dyDescent="0.25">
      <c r="A121" s="47"/>
      <c r="B121" s="47"/>
      <c r="C121" s="47"/>
      <c r="D121" s="1" t="s">
        <v>230</v>
      </c>
    </row>
    <row r="122" spans="1:4" x14ac:dyDescent="0.25">
      <c r="A122" s="47" t="s">
        <v>231</v>
      </c>
      <c r="B122" s="47" t="s">
        <v>232</v>
      </c>
      <c r="C122" s="1" t="s">
        <v>233</v>
      </c>
      <c r="D122" s="1" t="s">
        <v>234</v>
      </c>
    </row>
    <row r="123" spans="1:4" x14ac:dyDescent="0.25">
      <c r="A123" s="47"/>
      <c r="B123" s="47"/>
      <c r="C123" s="1" t="s">
        <v>235</v>
      </c>
      <c r="D123" s="1" t="s">
        <v>236</v>
      </c>
    </row>
    <row r="124" spans="1:4" x14ac:dyDescent="0.25">
      <c r="A124" s="47"/>
      <c r="B124" s="47"/>
      <c r="C124" s="1" t="s">
        <v>237</v>
      </c>
      <c r="D124" s="1" t="s">
        <v>238</v>
      </c>
    </row>
    <row r="125" spans="1:4" x14ac:dyDescent="0.25">
      <c r="A125" s="47"/>
      <c r="B125" s="47" t="s">
        <v>239</v>
      </c>
      <c r="C125" s="1" t="s">
        <v>240</v>
      </c>
      <c r="D125" s="1" t="s">
        <v>241</v>
      </c>
    </row>
    <row r="126" spans="1:4" x14ac:dyDescent="0.25">
      <c r="A126" s="47"/>
      <c r="B126" s="47"/>
      <c r="C126" s="1" t="s">
        <v>242</v>
      </c>
      <c r="D126" s="1" t="s">
        <v>243</v>
      </c>
    </row>
    <row r="127" spans="1:4" x14ac:dyDescent="0.25">
      <c r="A127" s="47"/>
      <c r="B127" s="47" t="s">
        <v>244</v>
      </c>
      <c r="C127" s="47" t="s">
        <v>245</v>
      </c>
      <c r="D127" s="1" t="s">
        <v>246</v>
      </c>
    </row>
    <row r="128" spans="1:4" x14ac:dyDescent="0.25">
      <c r="A128" s="47"/>
      <c r="B128" s="47"/>
      <c r="C128" s="47"/>
      <c r="D128" s="1" t="s">
        <v>247</v>
      </c>
    </row>
    <row r="129" spans="1:4" x14ac:dyDescent="0.25">
      <c r="A129" s="47"/>
      <c r="B129" s="47" t="s">
        <v>248</v>
      </c>
      <c r="C129" s="1" t="s">
        <v>249</v>
      </c>
      <c r="D129" s="1" t="s">
        <v>250</v>
      </c>
    </row>
    <row r="130" spans="1:4" x14ac:dyDescent="0.25">
      <c r="A130" s="47"/>
      <c r="B130" s="47"/>
      <c r="C130" s="1" t="s">
        <v>251</v>
      </c>
      <c r="D130" s="1" t="s">
        <v>252</v>
      </c>
    </row>
    <row r="131" spans="1:4" x14ac:dyDescent="0.25">
      <c r="A131" s="47"/>
      <c r="B131" s="47"/>
      <c r="C131" s="1" t="s">
        <v>253</v>
      </c>
      <c r="D131" s="1" t="s">
        <v>254</v>
      </c>
    </row>
    <row r="132" spans="1:4" x14ac:dyDescent="0.25">
      <c r="A132" s="47" t="s">
        <v>255</v>
      </c>
      <c r="B132" s="47" t="s">
        <v>256</v>
      </c>
      <c r="C132" s="47" t="s">
        <v>257</v>
      </c>
      <c r="D132" s="1" t="s">
        <v>258</v>
      </c>
    </row>
    <row r="133" spans="1:4" x14ac:dyDescent="0.25">
      <c r="A133" s="47"/>
      <c r="B133" s="47"/>
      <c r="C133" s="47"/>
      <c r="D133" s="1" t="s">
        <v>259</v>
      </c>
    </row>
    <row r="134" spans="1:4" x14ac:dyDescent="0.25">
      <c r="A134" s="47"/>
      <c r="B134" s="47" t="s">
        <v>260</v>
      </c>
      <c r="C134" s="47" t="s">
        <v>261</v>
      </c>
      <c r="D134" s="1" t="s">
        <v>262</v>
      </c>
    </row>
    <row r="135" spans="1:4" x14ac:dyDescent="0.25">
      <c r="A135" s="47"/>
      <c r="B135" s="47"/>
      <c r="C135" s="47"/>
      <c r="D135" s="1" t="s">
        <v>263</v>
      </c>
    </row>
    <row r="136" spans="1:4" x14ac:dyDescent="0.25">
      <c r="A136" s="47"/>
      <c r="B136" s="47"/>
      <c r="C136" s="47"/>
      <c r="D136" s="1" t="s">
        <v>264</v>
      </c>
    </row>
    <row r="137" spans="1:4" x14ac:dyDescent="0.25">
      <c r="A137" s="47"/>
      <c r="B137" s="47" t="s">
        <v>265</v>
      </c>
      <c r="C137" s="47" t="s">
        <v>266</v>
      </c>
      <c r="D137" s="1" t="s">
        <v>267</v>
      </c>
    </row>
    <row r="138" spans="1:4" x14ac:dyDescent="0.25">
      <c r="A138" s="47"/>
      <c r="B138" s="47"/>
      <c r="C138" s="47"/>
      <c r="D138" s="1" t="s">
        <v>268</v>
      </c>
    </row>
    <row r="139" spans="1:4" x14ac:dyDescent="0.25">
      <c r="A139" s="47"/>
      <c r="B139" s="47"/>
      <c r="C139" s="47"/>
      <c r="D139" s="1" t="s">
        <v>269</v>
      </c>
    </row>
    <row r="140" spans="1:4" x14ac:dyDescent="0.25">
      <c r="A140" s="47"/>
      <c r="B140" s="47"/>
      <c r="C140" s="47"/>
      <c r="D140" s="1" t="s">
        <v>270</v>
      </c>
    </row>
    <row r="141" spans="1:4" x14ac:dyDescent="0.25">
      <c r="A141" s="47"/>
      <c r="B141" s="47" t="s">
        <v>271</v>
      </c>
      <c r="C141" s="47" t="s">
        <v>272</v>
      </c>
      <c r="D141" s="1" t="s">
        <v>273</v>
      </c>
    </row>
    <row r="142" spans="1:4" x14ac:dyDescent="0.25">
      <c r="A142" s="47"/>
      <c r="B142" s="47"/>
      <c r="C142" s="47"/>
      <c r="D142" s="1" t="s">
        <v>274</v>
      </c>
    </row>
    <row r="143" spans="1:4" x14ac:dyDescent="0.25">
      <c r="A143" s="47"/>
      <c r="B143" s="47"/>
      <c r="C143" s="47"/>
      <c r="D143" s="1" t="s">
        <v>275</v>
      </c>
    </row>
    <row r="144" spans="1:4" x14ac:dyDescent="0.25">
      <c r="A144" s="47"/>
      <c r="B144" s="47"/>
      <c r="C144" s="47"/>
      <c r="D144" s="1" t="s">
        <v>276</v>
      </c>
    </row>
    <row r="145" spans="1:4" x14ac:dyDescent="0.25">
      <c r="A145" s="47"/>
      <c r="B145" s="47"/>
      <c r="C145" s="47"/>
      <c r="D145" s="1" t="s">
        <v>277</v>
      </c>
    </row>
    <row r="146" spans="1:4" x14ac:dyDescent="0.25">
      <c r="A146" s="47"/>
      <c r="B146" s="47"/>
      <c r="C146" s="1" t="s">
        <v>278</v>
      </c>
      <c r="D146" s="1" t="s">
        <v>279</v>
      </c>
    </row>
    <row r="147" spans="1:4" x14ac:dyDescent="0.25">
      <c r="A147" s="47"/>
      <c r="B147" s="47"/>
      <c r="C147" s="47" t="s">
        <v>280</v>
      </c>
      <c r="D147" s="1" t="s">
        <v>281</v>
      </c>
    </row>
    <row r="148" spans="1:4" x14ac:dyDescent="0.25">
      <c r="A148" s="47"/>
      <c r="B148" s="47"/>
      <c r="C148" s="47"/>
      <c r="D148" s="1" t="s">
        <v>282</v>
      </c>
    </row>
    <row r="149" spans="1:4" x14ac:dyDescent="0.25">
      <c r="A149" s="47"/>
      <c r="B149" s="47"/>
      <c r="C149" s="47"/>
      <c r="D149" s="1" t="s">
        <v>283</v>
      </c>
    </row>
    <row r="150" spans="1:4" x14ac:dyDescent="0.25">
      <c r="A150" s="47"/>
      <c r="B150" s="47"/>
      <c r="C150" s="47"/>
      <c r="D150" s="1" t="s">
        <v>284</v>
      </c>
    </row>
    <row r="151" spans="1:4" x14ac:dyDescent="0.25">
      <c r="A151" s="47"/>
      <c r="B151" s="47"/>
      <c r="C151" s="47"/>
      <c r="D151" s="1" t="s">
        <v>285</v>
      </c>
    </row>
    <row r="152" spans="1:4" x14ac:dyDescent="0.25">
      <c r="A152" s="47"/>
      <c r="B152" s="47"/>
      <c r="C152" s="47"/>
      <c r="D152" s="1" t="s">
        <v>286</v>
      </c>
    </row>
    <row r="153" spans="1:4" x14ac:dyDescent="0.25">
      <c r="A153" s="47"/>
      <c r="B153" s="47"/>
      <c r="C153" s="47"/>
      <c r="D153" s="1" t="s">
        <v>287</v>
      </c>
    </row>
    <row r="154" spans="1:4" x14ac:dyDescent="0.25">
      <c r="A154" s="47"/>
      <c r="B154" s="47"/>
      <c r="C154" s="47"/>
      <c r="D154" s="1" t="s">
        <v>288</v>
      </c>
    </row>
    <row r="155" spans="1:4" x14ac:dyDescent="0.25">
      <c r="A155" s="47"/>
      <c r="B155" s="47"/>
      <c r="C155" s="47"/>
      <c r="D155" s="1" t="s">
        <v>289</v>
      </c>
    </row>
    <row r="156" spans="1:4" x14ac:dyDescent="0.25">
      <c r="A156" s="47"/>
      <c r="B156" s="47"/>
      <c r="C156" s="1" t="s">
        <v>290</v>
      </c>
      <c r="D156" s="1" t="s">
        <v>291</v>
      </c>
    </row>
    <row r="157" spans="1:4" x14ac:dyDescent="0.25">
      <c r="A157" s="47"/>
      <c r="B157" s="47"/>
      <c r="C157" s="1" t="s">
        <v>292</v>
      </c>
      <c r="D157" s="1" t="s">
        <v>293</v>
      </c>
    </row>
    <row r="158" spans="1:4" x14ac:dyDescent="0.25">
      <c r="A158" s="47"/>
      <c r="B158" s="47"/>
      <c r="C158" s="1" t="s">
        <v>294</v>
      </c>
      <c r="D158" s="1" t="s">
        <v>295</v>
      </c>
    </row>
    <row r="159" spans="1:4" x14ac:dyDescent="0.25">
      <c r="A159" s="47"/>
      <c r="B159" s="47"/>
      <c r="C159" s="1" t="s">
        <v>296</v>
      </c>
      <c r="D159" s="1" t="s">
        <v>297</v>
      </c>
    </row>
  </sheetData>
  <mergeCells count="60">
    <mergeCell ref="C137:C140"/>
    <mergeCell ref="C141:C145"/>
    <mergeCell ref="C147:C155"/>
    <mergeCell ref="C115:C117"/>
    <mergeCell ref="C120:C121"/>
    <mergeCell ref="C127:C128"/>
    <mergeCell ref="C132:C133"/>
    <mergeCell ref="C134:C136"/>
    <mergeCell ref="C91:C92"/>
    <mergeCell ref="C93:C94"/>
    <mergeCell ref="C95:C96"/>
    <mergeCell ref="C99:C104"/>
    <mergeCell ref="C107:C114"/>
    <mergeCell ref="C39:C40"/>
    <mergeCell ref="C43:C48"/>
    <mergeCell ref="C50:C52"/>
    <mergeCell ref="C70:C71"/>
    <mergeCell ref="C84:C85"/>
    <mergeCell ref="B132:B133"/>
    <mergeCell ref="B134:B136"/>
    <mergeCell ref="B137:B140"/>
    <mergeCell ref="B141:B159"/>
    <mergeCell ref="C2:C3"/>
    <mergeCell ref="C4:C7"/>
    <mergeCell ref="C8:C9"/>
    <mergeCell ref="C10:C18"/>
    <mergeCell ref="C19:C21"/>
    <mergeCell ref="C23:C25"/>
    <mergeCell ref="C27:C28"/>
    <mergeCell ref="C29:C30"/>
    <mergeCell ref="C31:C32"/>
    <mergeCell ref="C33:C34"/>
    <mergeCell ref="C35:C36"/>
    <mergeCell ref="C37:C38"/>
    <mergeCell ref="B120:B121"/>
    <mergeCell ref="B122:B124"/>
    <mergeCell ref="B125:B126"/>
    <mergeCell ref="B127:B128"/>
    <mergeCell ref="B129:B131"/>
    <mergeCell ref="A119:A121"/>
    <mergeCell ref="A122:A131"/>
    <mergeCell ref="A132:A159"/>
    <mergeCell ref="B1:B26"/>
    <mergeCell ref="B27:B40"/>
    <mergeCell ref="B41:B42"/>
    <mergeCell ref="B43:B54"/>
    <mergeCell ref="B61:B65"/>
    <mergeCell ref="B70:B71"/>
    <mergeCell ref="B72:B73"/>
    <mergeCell ref="B74:B75"/>
    <mergeCell ref="B82:B83"/>
    <mergeCell ref="B84:B85"/>
    <mergeCell ref="B86:B88"/>
    <mergeCell ref="B91:B97"/>
    <mergeCell ref="B98:B117"/>
    <mergeCell ref="A1:A54"/>
    <mergeCell ref="A55:A66"/>
    <mergeCell ref="A67:A78"/>
    <mergeCell ref="A79:A85"/>
    <mergeCell ref="A86:A118"/>
  </mergeCells>
  <dataValidations count="2">
    <dataValidation type="list" allowBlank="1" showInputMessage="1" showErrorMessage="1" sqref="N6" xr:uid="{E74749AD-2B15-4948-8F71-A8469616DB75}">
      <formula1>$H$1:$I$1</formula1>
    </dataValidation>
    <dataValidation type="list" allowBlank="1" showInputMessage="1" showErrorMessage="1" sqref="N7" xr:uid="{2100D52F-4A9B-492E-88B2-790F55AB9F5D}">
      <formula1>INDIRECT(N6)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63227-EC0E-4B1B-865C-0DBBD69AD508}">
  <sheetPr codeName="Sheet2"/>
  <dimension ref="A1:CK224"/>
  <sheetViews>
    <sheetView showGridLines="0" topLeftCell="A109" zoomScaleNormal="100" workbookViewId="0">
      <selection activeCell="E129" sqref="E129"/>
    </sheetView>
  </sheetViews>
  <sheetFormatPr defaultColWidth="9.28515625" defaultRowHeight="15" x14ac:dyDescent="0.25"/>
  <cols>
    <col min="1" max="1" width="25.28515625" style="4" customWidth="1"/>
    <col min="2" max="2" width="27.42578125" style="4" customWidth="1"/>
    <col min="3" max="3" width="23.7109375" style="4" customWidth="1"/>
    <col min="4" max="4" width="19.7109375" style="4" customWidth="1"/>
    <col min="5" max="5" width="23" style="4" customWidth="1"/>
    <col min="6" max="6" width="21.42578125" style="4" customWidth="1"/>
    <col min="7" max="7" width="17.28515625" style="4" customWidth="1"/>
    <col min="8" max="8" width="23.28515625" style="4" customWidth="1"/>
    <col min="9" max="9" width="9.28515625" style="4" customWidth="1"/>
    <col min="10" max="10" width="30" style="4" customWidth="1"/>
    <col min="11" max="11" width="52" style="4" bestFit="1" customWidth="1"/>
    <col min="12" max="12" width="47.7109375" style="4" bestFit="1" customWidth="1"/>
    <col min="13" max="13" width="9.28515625" style="4"/>
    <col min="14" max="14" width="33.42578125" style="4" customWidth="1"/>
    <col min="15" max="15" width="18.42578125" style="4" customWidth="1"/>
    <col min="16" max="16" width="13.28515625" style="4" customWidth="1"/>
    <col min="17" max="17" width="24.5703125" style="4" customWidth="1"/>
    <col min="18" max="23" width="9.28515625" style="4" customWidth="1"/>
    <col min="24" max="24" width="20.28515625" style="4" customWidth="1"/>
    <col min="25" max="25" width="20" style="4" customWidth="1"/>
    <col min="26" max="26" width="15.28515625" style="4" customWidth="1"/>
    <col min="27" max="37" width="9.28515625" style="4" customWidth="1"/>
    <col min="38" max="38" width="24.5703125" style="4" customWidth="1"/>
    <col min="39" max="39" width="18" style="4" customWidth="1"/>
    <col min="40" max="41" width="9.28515625" style="4" customWidth="1"/>
    <col min="42" max="42" width="24.28515625" style="4" bestFit="1" customWidth="1"/>
    <col min="43" max="44" width="9.28515625" style="4" customWidth="1"/>
    <col min="45" max="16384" width="9.28515625" style="4"/>
  </cols>
  <sheetData>
    <row r="1" spans="1:42" ht="47.25" customHeight="1" x14ac:dyDescent="0.25">
      <c r="A1" s="3" t="s">
        <v>318</v>
      </c>
      <c r="B1" s="3" t="s">
        <v>299</v>
      </c>
      <c r="C1" s="3" t="s">
        <v>319</v>
      </c>
      <c r="D1" s="3" t="s">
        <v>300</v>
      </c>
      <c r="E1" s="3" t="s">
        <v>320</v>
      </c>
      <c r="F1" s="3" t="s">
        <v>301</v>
      </c>
      <c r="G1" s="3" t="s">
        <v>302</v>
      </c>
      <c r="H1" s="3" t="s">
        <v>321</v>
      </c>
      <c r="J1" s="12" t="s">
        <v>478</v>
      </c>
      <c r="K1" s="6" t="s">
        <v>298</v>
      </c>
      <c r="L1" s="7" t="s">
        <v>320</v>
      </c>
      <c r="N1" s="13" t="s">
        <v>479</v>
      </c>
      <c r="Q1" s="4" t="s">
        <v>636</v>
      </c>
      <c r="R1" s="4" t="s">
        <v>481</v>
      </c>
      <c r="S1" s="4" t="s">
        <v>482</v>
      </c>
      <c r="T1" s="4" t="s">
        <v>483</v>
      </c>
      <c r="U1" s="4" t="s">
        <v>484</v>
      </c>
      <c r="V1" s="4" t="s">
        <v>485</v>
      </c>
      <c r="W1" s="4" t="s">
        <v>486</v>
      </c>
      <c r="X1" s="4" t="s">
        <v>487</v>
      </c>
      <c r="Y1" s="4" t="s">
        <v>488</v>
      </c>
      <c r="Z1" s="4" t="s">
        <v>489</v>
      </c>
      <c r="AA1" s="4" t="s">
        <v>490</v>
      </c>
      <c r="AB1" s="4" t="s">
        <v>491</v>
      </c>
      <c r="AC1" s="4" t="s">
        <v>492</v>
      </c>
      <c r="AD1" s="4" t="s">
        <v>493</v>
      </c>
    </row>
    <row r="2" spans="1:42" ht="47.25" customHeight="1" x14ac:dyDescent="0.25">
      <c r="A2" s="4" t="s">
        <v>416</v>
      </c>
      <c r="B2" s="4" t="s">
        <v>303</v>
      </c>
      <c r="C2" s="4" t="s">
        <v>322</v>
      </c>
      <c r="D2" s="4" t="s">
        <v>304</v>
      </c>
      <c r="E2" s="4" t="s">
        <v>417</v>
      </c>
      <c r="F2" s="4" t="s">
        <v>418</v>
      </c>
      <c r="G2" s="4" t="s">
        <v>305</v>
      </c>
      <c r="H2" s="4" t="s">
        <v>419</v>
      </c>
      <c r="K2" s="8" t="s">
        <v>341</v>
      </c>
      <c r="L2" s="9" t="s">
        <v>316</v>
      </c>
      <c r="N2" s="14" t="s">
        <v>480</v>
      </c>
      <c r="Q2" s="4" t="s">
        <v>474</v>
      </c>
    </row>
    <row r="3" spans="1:42" ht="47.25" customHeight="1" x14ac:dyDescent="0.25">
      <c r="A3" s="4" t="s">
        <v>306</v>
      </c>
      <c r="B3" s="4" t="s">
        <v>420</v>
      </c>
      <c r="C3" s="4" t="s">
        <v>307</v>
      </c>
      <c r="D3" s="4" t="s">
        <v>308</v>
      </c>
      <c r="E3" s="4" t="s">
        <v>323</v>
      </c>
      <c r="F3" s="4" t="s">
        <v>324</v>
      </c>
      <c r="G3" s="4" t="s">
        <v>309</v>
      </c>
      <c r="H3" s="4" t="s">
        <v>421</v>
      </c>
      <c r="K3" s="10" t="s">
        <v>415</v>
      </c>
      <c r="L3" s="7" t="s">
        <v>434</v>
      </c>
      <c r="Q3" s="4" t="s">
        <v>475</v>
      </c>
    </row>
    <row r="4" spans="1:42" ht="47.25" customHeight="1" x14ac:dyDescent="0.25">
      <c r="A4" s="4" t="s">
        <v>310</v>
      </c>
      <c r="B4" s="4" t="s">
        <v>311</v>
      </c>
      <c r="C4" s="4" t="s">
        <v>325</v>
      </c>
      <c r="D4" s="4" t="s">
        <v>326</v>
      </c>
      <c r="E4" s="4" t="s">
        <v>422</v>
      </c>
      <c r="G4" s="4" t="s">
        <v>327</v>
      </c>
      <c r="H4" s="4" t="s">
        <v>328</v>
      </c>
      <c r="K4" s="8" t="s">
        <v>472</v>
      </c>
      <c r="L4" s="9" t="s">
        <v>445</v>
      </c>
      <c r="Q4" s="4" t="s">
        <v>476</v>
      </c>
    </row>
    <row r="5" spans="1:42" ht="47.25" customHeight="1" x14ac:dyDescent="0.25">
      <c r="A5" s="4" t="s">
        <v>312</v>
      </c>
      <c r="B5" s="4" t="s">
        <v>329</v>
      </c>
      <c r="C5" s="4" t="s">
        <v>313</v>
      </c>
      <c r="D5" s="4" t="s">
        <v>314</v>
      </c>
      <c r="E5" s="4" t="s">
        <v>330</v>
      </c>
      <c r="G5" s="4" t="s">
        <v>315</v>
      </c>
      <c r="H5" s="4" t="s">
        <v>331</v>
      </c>
      <c r="K5" s="11" t="s">
        <v>473</v>
      </c>
      <c r="L5" s="9" t="s">
        <v>476</v>
      </c>
      <c r="Q5" s="4" t="s">
        <v>477</v>
      </c>
    </row>
    <row r="6" spans="1:42" ht="47.25" customHeight="1" x14ac:dyDescent="0.25">
      <c r="B6" s="4" t="s">
        <v>332</v>
      </c>
      <c r="C6" s="4" t="s">
        <v>333</v>
      </c>
      <c r="D6" s="4" t="s">
        <v>334</v>
      </c>
      <c r="E6" s="4" t="s">
        <v>316</v>
      </c>
      <c r="K6" s="11" t="s">
        <v>494</v>
      </c>
      <c r="L6" s="9" t="s">
        <v>482</v>
      </c>
    </row>
    <row r="7" spans="1:42" x14ac:dyDescent="0.25">
      <c r="B7" s="4" t="s">
        <v>335</v>
      </c>
      <c r="C7" s="4" t="s">
        <v>423</v>
      </c>
      <c r="E7" s="4" t="s">
        <v>336</v>
      </c>
    </row>
    <row r="8" spans="1:42" x14ac:dyDescent="0.25">
      <c r="B8" s="4" t="s">
        <v>337</v>
      </c>
      <c r="C8" s="4" t="s">
        <v>317</v>
      </c>
    </row>
    <row r="9" spans="1:42" x14ac:dyDescent="0.25">
      <c r="B9" s="4" t="s">
        <v>338</v>
      </c>
      <c r="C9" s="4" t="s">
        <v>339</v>
      </c>
    </row>
    <row r="10" spans="1:42" x14ac:dyDescent="0.25">
      <c r="C10" s="4" t="s">
        <v>340</v>
      </c>
    </row>
    <row r="13" spans="1:42" s="5" customFormat="1" x14ac:dyDescent="0.25">
      <c r="A13" s="5" t="s">
        <v>416</v>
      </c>
      <c r="B13" s="5" t="s">
        <v>306</v>
      </c>
      <c r="C13" s="5" t="s">
        <v>310</v>
      </c>
      <c r="D13" s="5" t="s">
        <v>312</v>
      </c>
      <c r="E13" s="5" t="s">
        <v>303</v>
      </c>
      <c r="F13" s="5" t="s">
        <v>420</v>
      </c>
      <c r="G13" s="5" t="s">
        <v>311</v>
      </c>
      <c r="H13" s="5" t="s">
        <v>329</v>
      </c>
      <c r="I13" s="5" t="s">
        <v>332</v>
      </c>
      <c r="J13" s="5" t="s">
        <v>335</v>
      </c>
      <c r="K13" s="5" t="s">
        <v>337</v>
      </c>
      <c r="L13" s="5" t="s">
        <v>338</v>
      </c>
      <c r="M13" s="5" t="s">
        <v>322</v>
      </c>
      <c r="N13" s="5" t="s">
        <v>307</v>
      </c>
      <c r="O13" s="5" t="s">
        <v>325</v>
      </c>
      <c r="P13" s="5" t="s">
        <v>313</v>
      </c>
      <c r="Q13" s="5" t="s">
        <v>333</v>
      </c>
      <c r="R13" s="5" t="s">
        <v>423</v>
      </c>
      <c r="S13" s="5" t="s">
        <v>317</v>
      </c>
      <c r="T13" s="5" t="s">
        <v>339</v>
      </c>
      <c r="U13" s="5" t="s">
        <v>340</v>
      </c>
      <c r="V13" s="5" t="s">
        <v>304</v>
      </c>
      <c r="W13" s="5" t="s">
        <v>308</v>
      </c>
      <c r="X13" s="5" t="s">
        <v>326</v>
      </c>
      <c r="Y13" s="5" t="s">
        <v>314</v>
      </c>
      <c r="Z13" s="5" t="s">
        <v>334</v>
      </c>
      <c r="AA13" s="5" t="s">
        <v>417</v>
      </c>
      <c r="AB13" s="5" t="s">
        <v>323</v>
      </c>
      <c r="AC13" s="5" t="s">
        <v>422</v>
      </c>
      <c r="AD13" s="5" t="s">
        <v>330</v>
      </c>
      <c r="AE13" s="5" t="s">
        <v>316</v>
      </c>
      <c r="AF13" s="5" t="s">
        <v>336</v>
      </c>
      <c r="AG13" s="5" t="s">
        <v>418</v>
      </c>
      <c r="AH13" s="5" t="s">
        <v>324</v>
      </c>
      <c r="AI13" s="5" t="s">
        <v>305</v>
      </c>
      <c r="AJ13" s="5" t="s">
        <v>309</v>
      </c>
      <c r="AK13" s="5" t="s">
        <v>327</v>
      </c>
      <c r="AL13" s="5" t="s">
        <v>315</v>
      </c>
      <c r="AM13" s="5" t="s">
        <v>419</v>
      </c>
      <c r="AN13" s="5" t="s">
        <v>421</v>
      </c>
      <c r="AO13" s="5" t="s">
        <v>328</v>
      </c>
      <c r="AP13" s="5" t="s">
        <v>331</v>
      </c>
    </row>
    <row r="14" spans="1:42" x14ac:dyDescent="0.25">
      <c r="A14" s="4" t="s">
        <v>342</v>
      </c>
      <c r="B14" s="4" t="s">
        <v>343</v>
      </c>
      <c r="C14" s="4" t="s">
        <v>344</v>
      </c>
      <c r="D14" s="4" t="s">
        <v>345</v>
      </c>
      <c r="E14" s="4" t="s">
        <v>346</v>
      </c>
      <c r="F14" s="4" t="s">
        <v>424</v>
      </c>
      <c r="G14" s="4" t="s">
        <v>347</v>
      </c>
      <c r="H14" s="4" t="s">
        <v>348</v>
      </c>
      <c r="I14" s="4" t="s">
        <v>349</v>
      </c>
      <c r="J14" s="4" t="s">
        <v>350</v>
      </c>
      <c r="K14" s="4" t="s">
        <v>351</v>
      </c>
      <c r="L14" s="4" t="s">
        <v>352</v>
      </c>
      <c r="M14" s="4" t="s">
        <v>353</v>
      </c>
      <c r="N14" s="4" t="s">
        <v>354</v>
      </c>
      <c r="O14" s="4" t="s">
        <v>355</v>
      </c>
      <c r="P14" s="4" t="s">
        <v>356</v>
      </c>
      <c r="Q14" s="4" t="s">
        <v>357</v>
      </c>
      <c r="R14" s="4" t="s">
        <v>358</v>
      </c>
      <c r="S14" s="4" t="s">
        <v>359</v>
      </c>
      <c r="T14" s="4" t="s">
        <v>360</v>
      </c>
      <c r="U14" s="4" t="s">
        <v>361</v>
      </c>
      <c r="V14" s="4" t="s">
        <v>362</v>
      </c>
      <c r="W14" s="4" t="s">
        <v>363</v>
      </c>
      <c r="X14" s="4" t="s">
        <v>364</v>
      </c>
      <c r="Y14" s="4" t="s">
        <v>365</v>
      </c>
      <c r="Z14" s="4" t="s">
        <v>366</v>
      </c>
      <c r="AA14" s="4" t="s">
        <v>425</v>
      </c>
      <c r="AB14" s="4" t="s">
        <v>367</v>
      </c>
      <c r="AC14" s="4" t="s">
        <v>368</v>
      </c>
      <c r="AD14" s="4" t="s">
        <v>369</v>
      </c>
      <c r="AE14" s="4" t="s">
        <v>426</v>
      </c>
      <c r="AF14" s="4" t="s">
        <v>370</v>
      </c>
      <c r="AG14" s="4" t="s">
        <v>427</v>
      </c>
      <c r="AH14" s="4" t="s">
        <v>371</v>
      </c>
      <c r="AI14" s="4" t="s">
        <v>372</v>
      </c>
      <c r="AJ14" s="4" t="s">
        <v>373</v>
      </c>
      <c r="AK14" s="4" t="s">
        <v>374</v>
      </c>
      <c r="AL14" s="4" t="s">
        <v>375</v>
      </c>
      <c r="AM14" s="4" t="s">
        <v>428</v>
      </c>
      <c r="AN14" s="4" t="s">
        <v>429</v>
      </c>
      <c r="AO14" s="4" t="s">
        <v>376</v>
      </c>
      <c r="AP14" s="4" t="s">
        <v>430</v>
      </c>
    </row>
    <row r="15" spans="1:42" x14ac:dyDescent="0.25">
      <c r="A15" s="4" t="s">
        <v>377</v>
      </c>
      <c r="B15" s="4" t="s">
        <v>378</v>
      </c>
      <c r="C15" s="4" t="s">
        <v>379</v>
      </c>
      <c r="D15" s="4" t="s">
        <v>380</v>
      </c>
      <c r="K15" s="4" t="s">
        <v>381</v>
      </c>
      <c r="Q15" s="4" t="s">
        <v>382</v>
      </c>
      <c r="R15" s="4" t="s">
        <v>383</v>
      </c>
      <c r="Y15" s="4" t="s">
        <v>384</v>
      </c>
      <c r="AA15" s="4" t="s">
        <v>431</v>
      </c>
      <c r="AD15" s="4" t="s">
        <v>385</v>
      </c>
      <c r="AE15" s="4" t="s">
        <v>432</v>
      </c>
      <c r="AI15" s="4" t="s">
        <v>386</v>
      </c>
      <c r="AJ15" s="4" t="s">
        <v>387</v>
      </c>
      <c r="AL15" s="4" t="s">
        <v>388</v>
      </c>
      <c r="AP15" s="4" t="s">
        <v>389</v>
      </c>
    </row>
    <row r="16" spans="1:42" x14ac:dyDescent="0.25">
      <c r="A16" s="4" t="s">
        <v>390</v>
      </c>
      <c r="B16" s="4" t="s">
        <v>391</v>
      </c>
      <c r="D16" s="4" t="s">
        <v>392</v>
      </c>
      <c r="K16" s="4" t="s">
        <v>393</v>
      </c>
      <c r="AA16" s="4" t="s">
        <v>394</v>
      </c>
      <c r="AD16" s="4" t="s">
        <v>395</v>
      </c>
      <c r="AE16" s="4" t="s">
        <v>396</v>
      </c>
      <c r="AI16" s="4" t="s">
        <v>397</v>
      </c>
      <c r="AL16" s="4" t="s">
        <v>398</v>
      </c>
      <c r="AP16" s="4" t="s">
        <v>399</v>
      </c>
    </row>
    <row r="17" spans="1:42" x14ac:dyDescent="0.25">
      <c r="A17" s="4" t="s">
        <v>433</v>
      </c>
      <c r="B17" s="4" t="s">
        <v>400</v>
      </c>
      <c r="D17" s="4" t="s">
        <v>401</v>
      </c>
      <c r="K17" s="4" t="s">
        <v>402</v>
      </c>
      <c r="AD17" s="4" t="s">
        <v>403</v>
      </c>
      <c r="AE17" s="4" t="s">
        <v>404</v>
      </c>
      <c r="AP17" s="4" t="s">
        <v>405</v>
      </c>
    </row>
    <row r="18" spans="1:42" x14ac:dyDescent="0.25">
      <c r="A18" s="4" t="s">
        <v>434</v>
      </c>
      <c r="B18" s="4" t="s">
        <v>406</v>
      </c>
      <c r="D18" s="4" t="s">
        <v>407</v>
      </c>
      <c r="K18" s="4" t="s">
        <v>435</v>
      </c>
      <c r="AE18" s="4" t="s">
        <v>408</v>
      </c>
      <c r="AP18" s="4" t="s">
        <v>409</v>
      </c>
    </row>
    <row r="19" spans="1:42" x14ac:dyDescent="0.25">
      <c r="A19" s="4" t="s">
        <v>436</v>
      </c>
      <c r="B19" s="4" t="s">
        <v>410</v>
      </c>
      <c r="AE19" s="4" t="s">
        <v>437</v>
      </c>
      <c r="AP19" s="4" t="s">
        <v>411</v>
      </c>
    </row>
    <row r="20" spans="1:42" x14ac:dyDescent="0.25">
      <c r="A20" s="4" t="s">
        <v>412</v>
      </c>
      <c r="B20" s="4" t="s">
        <v>413</v>
      </c>
      <c r="AP20" s="4" t="s">
        <v>414</v>
      </c>
    </row>
    <row r="21" spans="1:42" x14ac:dyDescent="0.25">
      <c r="A21" s="4" t="s">
        <v>438</v>
      </c>
    </row>
    <row r="22" spans="1:42" x14ac:dyDescent="0.25">
      <c r="A22" s="4" t="s">
        <v>439</v>
      </c>
    </row>
    <row r="25" spans="1:42" x14ac:dyDescent="0.25">
      <c r="A25" s="5" t="s">
        <v>342</v>
      </c>
      <c r="B25" s="4" t="s">
        <v>440</v>
      </c>
    </row>
    <row r="26" spans="1:42" x14ac:dyDescent="0.25">
      <c r="A26" s="5" t="s">
        <v>377</v>
      </c>
      <c r="B26" s="4" t="s">
        <v>441</v>
      </c>
      <c r="C26" s="4" t="s">
        <v>642</v>
      </c>
    </row>
    <row r="27" spans="1:42" x14ac:dyDescent="0.25">
      <c r="A27" s="5" t="s">
        <v>390</v>
      </c>
      <c r="B27" s="4" t="s">
        <v>643</v>
      </c>
      <c r="C27" s="4" t="s">
        <v>644</v>
      </c>
      <c r="D27" s="4" t="s">
        <v>645</v>
      </c>
      <c r="E27" s="4" t="s">
        <v>646</v>
      </c>
    </row>
    <row r="28" spans="1:42" x14ac:dyDescent="0.25">
      <c r="A28" s="5" t="s">
        <v>433</v>
      </c>
      <c r="B28" s="4" t="s">
        <v>442</v>
      </c>
      <c r="C28" s="4" t="s">
        <v>647</v>
      </c>
    </row>
    <row r="29" spans="1:42" x14ac:dyDescent="0.25">
      <c r="A29" s="5" t="s">
        <v>434</v>
      </c>
      <c r="B29" s="4" t="s">
        <v>443</v>
      </c>
      <c r="C29" s="4" t="s">
        <v>648</v>
      </c>
      <c r="D29" s="4" t="s">
        <v>444</v>
      </c>
      <c r="E29" s="4" t="s">
        <v>649</v>
      </c>
      <c r="F29" s="4" t="s">
        <v>650</v>
      </c>
      <c r="G29" s="4" t="s">
        <v>446</v>
      </c>
      <c r="H29" s="4" t="s">
        <v>651</v>
      </c>
      <c r="I29" s="4" t="s">
        <v>447</v>
      </c>
      <c r="J29" s="4" t="s">
        <v>652</v>
      </c>
    </row>
    <row r="30" spans="1:42" x14ac:dyDescent="0.25">
      <c r="A30" s="5" t="s">
        <v>436</v>
      </c>
      <c r="B30" s="4" t="s">
        <v>448</v>
      </c>
      <c r="C30" s="4" t="s">
        <v>653</v>
      </c>
      <c r="D30" s="4" t="s">
        <v>449</v>
      </c>
    </row>
    <row r="31" spans="1:42" x14ac:dyDescent="0.25">
      <c r="A31" s="5" t="s">
        <v>412</v>
      </c>
      <c r="B31" s="4" t="s">
        <v>654</v>
      </c>
    </row>
    <row r="32" spans="1:42" x14ac:dyDescent="0.25">
      <c r="A32" s="5" t="s">
        <v>438</v>
      </c>
      <c r="B32" s="4" t="s">
        <v>450</v>
      </c>
      <c r="C32" s="4" t="s">
        <v>451</v>
      </c>
      <c r="D32" s="4" t="s">
        <v>452</v>
      </c>
    </row>
    <row r="33" spans="1:12" x14ac:dyDescent="0.25">
      <c r="A33" s="5" t="s">
        <v>439</v>
      </c>
      <c r="B33" s="4" t="s">
        <v>453</v>
      </c>
    </row>
    <row r="34" spans="1:12" x14ac:dyDescent="0.25">
      <c r="A34" s="5" t="s">
        <v>343</v>
      </c>
      <c r="B34" s="4" t="s">
        <v>655</v>
      </c>
      <c r="C34" s="4" t="s">
        <v>656</v>
      </c>
    </row>
    <row r="35" spans="1:12" x14ac:dyDescent="0.25">
      <c r="A35" s="5" t="s">
        <v>378</v>
      </c>
      <c r="B35" s="4" t="s">
        <v>657</v>
      </c>
      <c r="C35" s="4" t="s">
        <v>658</v>
      </c>
    </row>
    <row r="36" spans="1:12" x14ac:dyDescent="0.25">
      <c r="A36" s="5" t="s">
        <v>391</v>
      </c>
      <c r="B36" s="4" t="s">
        <v>659</v>
      </c>
      <c r="C36" s="4" t="s">
        <v>660</v>
      </c>
    </row>
    <row r="37" spans="1:12" x14ac:dyDescent="0.25">
      <c r="A37" s="5" t="s">
        <v>400</v>
      </c>
      <c r="B37" s="4" t="s">
        <v>661</v>
      </c>
      <c r="C37" s="4" t="s">
        <v>662</v>
      </c>
    </row>
    <row r="38" spans="1:12" x14ac:dyDescent="0.25">
      <c r="A38" s="5" t="s">
        <v>406</v>
      </c>
      <c r="B38" s="4" t="s">
        <v>663</v>
      </c>
      <c r="C38" s="4" t="s">
        <v>664</v>
      </c>
    </row>
    <row r="39" spans="1:12" x14ac:dyDescent="0.25">
      <c r="A39" s="5" t="s">
        <v>410</v>
      </c>
      <c r="B39" s="4" t="s">
        <v>665</v>
      </c>
      <c r="C39" s="4" t="s">
        <v>666</v>
      </c>
      <c r="L39" s="5"/>
    </row>
    <row r="40" spans="1:12" x14ac:dyDescent="0.25">
      <c r="A40" s="5" t="s">
        <v>413</v>
      </c>
      <c r="B40" s="4" t="s">
        <v>667</v>
      </c>
      <c r="C40" s="4" t="s">
        <v>668</v>
      </c>
    </row>
    <row r="41" spans="1:12" x14ac:dyDescent="0.25">
      <c r="A41" s="5" t="s">
        <v>344</v>
      </c>
      <c r="B41" s="4" t="s">
        <v>669</v>
      </c>
    </row>
    <row r="42" spans="1:12" x14ac:dyDescent="0.25">
      <c r="A42" s="5" t="s">
        <v>379</v>
      </c>
      <c r="B42" s="4" t="s">
        <v>670</v>
      </c>
    </row>
    <row r="43" spans="1:12" x14ac:dyDescent="0.25">
      <c r="A43" s="5" t="s">
        <v>345</v>
      </c>
      <c r="B43" s="4" t="s">
        <v>454</v>
      </c>
      <c r="C43" s="4" t="s">
        <v>671</v>
      </c>
      <c r="D43" s="4" t="s">
        <v>672</v>
      </c>
      <c r="E43" s="4" t="s">
        <v>673</v>
      </c>
      <c r="F43" s="4" t="s">
        <v>674</v>
      </c>
      <c r="G43" s="4" t="s">
        <v>675</v>
      </c>
    </row>
    <row r="44" spans="1:12" x14ac:dyDescent="0.25">
      <c r="A44" s="5" t="s">
        <v>380</v>
      </c>
      <c r="B44" s="4" t="s">
        <v>455</v>
      </c>
    </row>
    <row r="45" spans="1:12" x14ac:dyDescent="0.25">
      <c r="A45" s="5" t="s">
        <v>392</v>
      </c>
      <c r="B45" s="4" t="s">
        <v>456</v>
      </c>
      <c r="C45" s="4" t="s">
        <v>676</v>
      </c>
      <c r="D45" s="4" t="s">
        <v>677</v>
      </c>
    </row>
    <row r="46" spans="1:12" x14ac:dyDescent="0.25">
      <c r="A46" s="5" t="s">
        <v>401</v>
      </c>
      <c r="B46" s="4" t="s">
        <v>678</v>
      </c>
    </row>
    <row r="47" spans="1:12" x14ac:dyDescent="0.25">
      <c r="A47" s="5" t="s">
        <v>407</v>
      </c>
      <c r="B47" s="4" t="s">
        <v>679</v>
      </c>
    </row>
    <row r="48" spans="1:12" x14ac:dyDescent="0.25">
      <c r="A48" s="5" t="s">
        <v>346</v>
      </c>
      <c r="B48" s="4" t="s">
        <v>457</v>
      </c>
    </row>
    <row r="49" spans="1:3" x14ac:dyDescent="0.25">
      <c r="A49" s="5" t="s">
        <v>424</v>
      </c>
      <c r="B49" s="4" t="s">
        <v>680</v>
      </c>
    </row>
    <row r="50" spans="1:3" x14ac:dyDescent="0.25">
      <c r="A50" s="5" t="s">
        <v>347</v>
      </c>
      <c r="B50" s="4" t="s">
        <v>458</v>
      </c>
    </row>
    <row r="51" spans="1:3" x14ac:dyDescent="0.25">
      <c r="A51" s="5" t="s">
        <v>348</v>
      </c>
      <c r="B51" s="4" t="s">
        <v>681</v>
      </c>
    </row>
    <row r="52" spans="1:3" x14ac:dyDescent="0.25">
      <c r="A52" s="5" t="s">
        <v>349</v>
      </c>
      <c r="B52" s="4" t="s">
        <v>682</v>
      </c>
    </row>
    <row r="53" spans="1:3" x14ac:dyDescent="0.25">
      <c r="A53" s="5" t="s">
        <v>350</v>
      </c>
      <c r="B53" s="4" t="s">
        <v>683</v>
      </c>
    </row>
    <row r="54" spans="1:3" x14ac:dyDescent="0.25">
      <c r="A54" s="5" t="s">
        <v>351</v>
      </c>
      <c r="B54" s="4" t="s">
        <v>459</v>
      </c>
    </row>
    <row r="55" spans="1:3" x14ac:dyDescent="0.25">
      <c r="A55" s="5" t="s">
        <v>381</v>
      </c>
      <c r="B55" s="4" t="s">
        <v>460</v>
      </c>
    </row>
    <row r="56" spans="1:3" x14ac:dyDescent="0.25">
      <c r="A56" s="5" t="s">
        <v>393</v>
      </c>
      <c r="B56" s="4" t="s">
        <v>684</v>
      </c>
    </row>
    <row r="57" spans="1:3" x14ac:dyDescent="0.25">
      <c r="A57" s="5" t="s">
        <v>402</v>
      </c>
      <c r="B57" s="4" t="s">
        <v>461</v>
      </c>
    </row>
    <row r="58" spans="1:3" x14ac:dyDescent="0.25">
      <c r="A58" s="5" t="s">
        <v>435</v>
      </c>
      <c r="B58" s="4" t="s">
        <v>685</v>
      </c>
    </row>
    <row r="59" spans="1:3" x14ac:dyDescent="0.25">
      <c r="A59" s="5" t="s">
        <v>352</v>
      </c>
      <c r="B59" s="4" t="s">
        <v>686</v>
      </c>
    </row>
    <row r="60" spans="1:3" x14ac:dyDescent="0.25">
      <c r="A60" s="5" t="s">
        <v>353</v>
      </c>
      <c r="B60" s="4" t="s">
        <v>687</v>
      </c>
    </row>
    <row r="61" spans="1:3" x14ac:dyDescent="0.25">
      <c r="A61" s="5" t="s">
        <v>354</v>
      </c>
      <c r="B61" s="4" t="s">
        <v>462</v>
      </c>
    </row>
    <row r="62" spans="1:3" x14ac:dyDescent="0.25">
      <c r="A62" s="5" t="s">
        <v>355</v>
      </c>
      <c r="B62" s="4" t="s">
        <v>688</v>
      </c>
    </row>
    <row r="63" spans="1:3" x14ac:dyDescent="0.25">
      <c r="A63" s="5" t="s">
        <v>356</v>
      </c>
      <c r="B63" s="4" t="s">
        <v>463</v>
      </c>
      <c r="C63" s="4" t="s">
        <v>464</v>
      </c>
    </row>
    <row r="64" spans="1:3" x14ac:dyDescent="0.25">
      <c r="A64" s="5" t="s">
        <v>357</v>
      </c>
      <c r="B64" s="4" t="s">
        <v>689</v>
      </c>
    </row>
    <row r="65" spans="1:3" x14ac:dyDescent="0.25">
      <c r="A65" s="5" t="s">
        <v>382</v>
      </c>
      <c r="B65" s="4" t="s">
        <v>465</v>
      </c>
    </row>
    <row r="66" spans="1:3" x14ac:dyDescent="0.25">
      <c r="A66" s="5" t="s">
        <v>358</v>
      </c>
      <c r="B66" s="4" t="s">
        <v>690</v>
      </c>
    </row>
    <row r="67" spans="1:3" x14ac:dyDescent="0.25">
      <c r="A67" s="5" t="s">
        <v>383</v>
      </c>
      <c r="B67" s="4" t="s">
        <v>691</v>
      </c>
    </row>
    <row r="68" spans="1:3" x14ac:dyDescent="0.25">
      <c r="A68" s="5" t="s">
        <v>359</v>
      </c>
      <c r="B68" s="4" t="s">
        <v>692</v>
      </c>
    </row>
    <row r="69" spans="1:3" x14ac:dyDescent="0.25">
      <c r="A69" s="5" t="s">
        <v>360</v>
      </c>
      <c r="B69" s="4" t="s">
        <v>693</v>
      </c>
    </row>
    <row r="70" spans="1:3" x14ac:dyDescent="0.25">
      <c r="A70" s="5" t="s">
        <v>361</v>
      </c>
      <c r="B70" s="4" t="s">
        <v>694</v>
      </c>
    </row>
    <row r="71" spans="1:3" x14ac:dyDescent="0.25">
      <c r="A71" s="5" t="s">
        <v>362</v>
      </c>
      <c r="B71" s="4" t="s">
        <v>466</v>
      </c>
    </row>
    <row r="72" spans="1:3" x14ac:dyDescent="0.25">
      <c r="A72" s="5" t="s">
        <v>363</v>
      </c>
      <c r="B72" s="4" t="s">
        <v>467</v>
      </c>
    </row>
    <row r="73" spans="1:3" x14ac:dyDescent="0.25">
      <c r="A73" s="5" t="s">
        <v>364</v>
      </c>
      <c r="B73" s="4" t="s">
        <v>695</v>
      </c>
    </row>
    <row r="74" spans="1:3" x14ac:dyDescent="0.25">
      <c r="A74" s="5" t="s">
        <v>365</v>
      </c>
      <c r="B74" s="4" t="s">
        <v>696</v>
      </c>
    </row>
    <row r="75" spans="1:3" x14ac:dyDescent="0.25">
      <c r="A75" s="5" t="s">
        <v>384</v>
      </c>
      <c r="B75" s="4" t="s">
        <v>697</v>
      </c>
    </row>
    <row r="76" spans="1:3" x14ac:dyDescent="0.25">
      <c r="A76" s="5" t="s">
        <v>366</v>
      </c>
      <c r="B76" s="4" t="s">
        <v>468</v>
      </c>
      <c r="C76" s="4" t="s">
        <v>698</v>
      </c>
    </row>
    <row r="77" spans="1:3" x14ac:dyDescent="0.25">
      <c r="A77" s="5" t="s">
        <v>425</v>
      </c>
      <c r="B77" s="4" t="s">
        <v>699</v>
      </c>
    </row>
    <row r="78" spans="1:3" x14ac:dyDescent="0.25">
      <c r="A78" s="5" t="s">
        <v>431</v>
      </c>
      <c r="B78" s="4" t="s">
        <v>700</v>
      </c>
    </row>
    <row r="79" spans="1:3" x14ac:dyDescent="0.25">
      <c r="A79" s="5" t="s">
        <v>394</v>
      </c>
      <c r="B79" s="4" t="s">
        <v>701</v>
      </c>
    </row>
    <row r="80" spans="1:3" x14ac:dyDescent="0.25">
      <c r="A80" s="5" t="s">
        <v>367</v>
      </c>
      <c r="B80" s="4" t="s">
        <v>702</v>
      </c>
    </row>
    <row r="81" spans="1:9" x14ac:dyDescent="0.25">
      <c r="A81" s="5" t="s">
        <v>368</v>
      </c>
      <c r="B81" s="4" t="s">
        <v>703</v>
      </c>
    </row>
    <row r="82" spans="1:9" x14ac:dyDescent="0.25">
      <c r="A82" s="5" t="s">
        <v>369</v>
      </c>
      <c r="B82" s="4" t="s">
        <v>704</v>
      </c>
      <c r="C82" s="4" t="s">
        <v>705</v>
      </c>
    </row>
    <row r="83" spans="1:9" x14ac:dyDescent="0.25">
      <c r="A83" s="5" t="s">
        <v>385</v>
      </c>
      <c r="B83" s="4" t="s">
        <v>706</v>
      </c>
      <c r="C83" s="4" t="s">
        <v>707</v>
      </c>
    </row>
    <row r="84" spans="1:9" x14ac:dyDescent="0.25">
      <c r="A84" s="5" t="s">
        <v>395</v>
      </c>
      <c r="B84" s="4" t="s">
        <v>708</v>
      </c>
      <c r="C84" s="4" t="s">
        <v>709</v>
      </c>
    </row>
    <row r="85" spans="1:9" x14ac:dyDescent="0.25">
      <c r="A85" s="5" t="s">
        <v>403</v>
      </c>
      <c r="B85" s="4" t="s">
        <v>710</v>
      </c>
    </row>
    <row r="86" spans="1:9" x14ac:dyDescent="0.25">
      <c r="A86" s="5" t="s">
        <v>426</v>
      </c>
      <c r="B86" s="4" t="s">
        <v>711</v>
      </c>
    </row>
    <row r="87" spans="1:9" x14ac:dyDescent="0.25">
      <c r="A87" s="5" t="s">
        <v>432</v>
      </c>
      <c r="B87" s="4" t="s">
        <v>712</v>
      </c>
      <c r="C87" s="4" t="s">
        <v>713</v>
      </c>
      <c r="D87" s="4" t="s">
        <v>714</v>
      </c>
      <c r="E87" s="4" t="s">
        <v>715</v>
      </c>
      <c r="F87" s="4" t="s">
        <v>716</v>
      </c>
      <c r="G87" s="4" t="s">
        <v>717</v>
      </c>
    </row>
    <row r="88" spans="1:9" x14ac:dyDescent="0.25">
      <c r="A88" s="5" t="s">
        <v>396</v>
      </c>
      <c r="B88" s="4" t="s">
        <v>718</v>
      </c>
    </row>
    <row r="89" spans="1:9" x14ac:dyDescent="0.25">
      <c r="A89" s="5" t="s">
        <v>404</v>
      </c>
      <c r="B89" s="4" t="s">
        <v>719</v>
      </c>
    </row>
    <row r="90" spans="1:9" x14ac:dyDescent="0.25">
      <c r="A90" s="5" t="s">
        <v>408</v>
      </c>
      <c r="B90" s="4" t="s">
        <v>720</v>
      </c>
      <c r="C90" s="4" t="s">
        <v>721</v>
      </c>
      <c r="D90" s="4" t="s">
        <v>722</v>
      </c>
      <c r="E90" s="4" t="s">
        <v>723</v>
      </c>
      <c r="F90" s="4" t="s">
        <v>724</v>
      </c>
      <c r="G90" s="4" t="s">
        <v>725</v>
      </c>
      <c r="H90" s="4" t="s">
        <v>726</v>
      </c>
      <c r="I90" s="4" t="s">
        <v>727</v>
      </c>
    </row>
    <row r="91" spans="1:9" x14ac:dyDescent="0.25">
      <c r="A91" s="5" t="s">
        <v>437</v>
      </c>
      <c r="B91" s="4" t="s">
        <v>728</v>
      </c>
      <c r="C91" s="4" t="s">
        <v>729</v>
      </c>
      <c r="D91" s="4" t="s">
        <v>730</v>
      </c>
    </row>
    <row r="92" spans="1:9" x14ac:dyDescent="0.25">
      <c r="A92" s="5" t="s">
        <v>370</v>
      </c>
      <c r="B92" s="4" t="s">
        <v>731</v>
      </c>
    </row>
    <row r="93" spans="1:9" x14ac:dyDescent="0.25">
      <c r="A93" s="5" t="s">
        <v>427</v>
      </c>
      <c r="B93" s="4" t="s">
        <v>469</v>
      </c>
    </row>
    <row r="94" spans="1:9" x14ac:dyDescent="0.25">
      <c r="A94" s="5" t="s">
        <v>371</v>
      </c>
      <c r="B94" s="4" t="s">
        <v>732</v>
      </c>
      <c r="C94" s="4" t="s">
        <v>733</v>
      </c>
    </row>
    <row r="95" spans="1:9" x14ac:dyDescent="0.25">
      <c r="A95" s="5" t="s">
        <v>372</v>
      </c>
      <c r="B95" s="4" t="s">
        <v>734</v>
      </c>
    </row>
    <row r="96" spans="1:9" x14ac:dyDescent="0.25">
      <c r="A96" s="5" t="s">
        <v>386</v>
      </c>
      <c r="B96" s="4" t="s">
        <v>735</v>
      </c>
    </row>
    <row r="97" spans="1:10" x14ac:dyDescent="0.25">
      <c r="A97" s="5" t="s">
        <v>397</v>
      </c>
      <c r="B97" s="4" t="s">
        <v>736</v>
      </c>
    </row>
    <row r="98" spans="1:10" x14ac:dyDescent="0.25">
      <c r="A98" s="5" t="s">
        <v>373</v>
      </c>
      <c r="B98" s="4" t="s">
        <v>737</v>
      </c>
    </row>
    <row r="99" spans="1:10" x14ac:dyDescent="0.25">
      <c r="A99" s="5" t="s">
        <v>387</v>
      </c>
      <c r="B99" s="4" t="s">
        <v>738</v>
      </c>
    </row>
    <row r="100" spans="1:10" x14ac:dyDescent="0.25">
      <c r="A100" s="5" t="s">
        <v>374</v>
      </c>
      <c r="B100" s="4" t="s">
        <v>739</v>
      </c>
      <c r="C100" s="4" t="s">
        <v>740</v>
      </c>
    </row>
    <row r="101" spans="1:10" x14ac:dyDescent="0.25">
      <c r="A101" s="5" t="s">
        <v>375</v>
      </c>
      <c r="B101" s="4" t="s">
        <v>741</v>
      </c>
    </row>
    <row r="102" spans="1:10" x14ac:dyDescent="0.25">
      <c r="A102" s="5" t="s">
        <v>388</v>
      </c>
      <c r="B102" s="4" t="s">
        <v>742</v>
      </c>
    </row>
    <row r="103" spans="1:10" x14ac:dyDescent="0.25">
      <c r="A103" s="5" t="s">
        <v>398</v>
      </c>
      <c r="B103" s="4" t="s">
        <v>743</v>
      </c>
    </row>
    <row r="104" spans="1:10" x14ac:dyDescent="0.25">
      <c r="A104" s="5" t="s">
        <v>428</v>
      </c>
      <c r="B104" s="4" t="s">
        <v>744</v>
      </c>
      <c r="C104" s="4" t="s">
        <v>745</v>
      </c>
    </row>
    <row r="105" spans="1:10" x14ac:dyDescent="0.25">
      <c r="A105" s="5" t="s">
        <v>429</v>
      </c>
      <c r="B105" s="4" t="s">
        <v>746</v>
      </c>
      <c r="C105" s="4" t="s">
        <v>747</v>
      </c>
      <c r="D105" s="4" t="s">
        <v>748</v>
      </c>
    </row>
    <row r="106" spans="1:10" x14ac:dyDescent="0.25">
      <c r="A106" s="5" t="s">
        <v>376</v>
      </c>
      <c r="B106" s="4" t="s">
        <v>749</v>
      </c>
      <c r="C106" s="4" t="s">
        <v>750</v>
      </c>
      <c r="D106" s="4" t="s">
        <v>751</v>
      </c>
      <c r="E106" s="4" t="s">
        <v>752</v>
      </c>
    </row>
    <row r="107" spans="1:10" x14ac:dyDescent="0.25">
      <c r="A107" s="5" t="s">
        <v>430</v>
      </c>
      <c r="B107" s="4" t="s">
        <v>753</v>
      </c>
      <c r="C107" s="4" t="s">
        <v>754</v>
      </c>
      <c r="D107" s="4" t="s">
        <v>755</v>
      </c>
      <c r="E107" s="4" t="s">
        <v>756</v>
      </c>
      <c r="F107" s="4" t="s">
        <v>757</v>
      </c>
    </row>
    <row r="108" spans="1:10" x14ac:dyDescent="0.25">
      <c r="A108" s="5" t="s">
        <v>389</v>
      </c>
      <c r="B108" s="4" t="s">
        <v>758</v>
      </c>
    </row>
    <row r="109" spans="1:10" x14ac:dyDescent="0.25">
      <c r="A109" s="5" t="s">
        <v>399</v>
      </c>
      <c r="B109" s="4" t="s">
        <v>759</v>
      </c>
      <c r="C109" s="4" t="s">
        <v>470</v>
      </c>
      <c r="D109" s="4" t="s">
        <v>471</v>
      </c>
      <c r="E109" s="4" t="s">
        <v>760</v>
      </c>
      <c r="F109" s="4" t="s">
        <v>761</v>
      </c>
      <c r="G109" s="4" t="s">
        <v>762</v>
      </c>
      <c r="H109" s="4" t="s">
        <v>763</v>
      </c>
      <c r="I109" s="4" t="s">
        <v>764</v>
      </c>
      <c r="J109" s="4" t="s">
        <v>765</v>
      </c>
    </row>
    <row r="110" spans="1:10" x14ac:dyDescent="0.25">
      <c r="A110" s="5" t="s">
        <v>405</v>
      </c>
      <c r="B110" s="4" t="s">
        <v>766</v>
      </c>
    </row>
    <row r="111" spans="1:10" x14ac:dyDescent="0.25">
      <c r="A111" s="5" t="s">
        <v>409</v>
      </c>
      <c r="B111" s="4" t="s">
        <v>767</v>
      </c>
    </row>
    <row r="112" spans="1:10" x14ac:dyDescent="0.25">
      <c r="A112" s="5" t="s">
        <v>411</v>
      </c>
      <c r="B112" s="4" t="s">
        <v>768</v>
      </c>
    </row>
    <row r="113" spans="1:3" x14ac:dyDescent="0.25">
      <c r="A113" s="5" t="s">
        <v>414</v>
      </c>
      <c r="B113" s="4" t="s">
        <v>769</v>
      </c>
    </row>
    <row r="116" spans="1:3" x14ac:dyDescent="0.25">
      <c r="B116" s="4" t="s">
        <v>634</v>
      </c>
      <c r="C116" s="4" t="s">
        <v>774</v>
      </c>
    </row>
    <row r="117" spans="1:3" x14ac:dyDescent="0.25">
      <c r="A117" s="22" t="s">
        <v>511</v>
      </c>
      <c r="B117" s="4" t="str">
        <f t="shared" ref="B117:B132" si="0">UPPER(A117)</f>
        <v>DOLNOŚLĄSKIE</v>
      </c>
      <c r="C117" s="4" t="s">
        <v>773</v>
      </c>
    </row>
    <row r="118" spans="1:3" x14ac:dyDescent="0.25">
      <c r="A118" s="22" t="s">
        <v>512</v>
      </c>
      <c r="B118" s="4" t="str">
        <f t="shared" si="0"/>
        <v>KUJAWSKO-POMORSKIE</v>
      </c>
      <c r="C118" s="4" t="s">
        <v>775</v>
      </c>
    </row>
    <row r="119" spans="1:3" x14ac:dyDescent="0.25">
      <c r="A119" s="22" t="s">
        <v>513</v>
      </c>
      <c r="B119" s="4" t="str">
        <f t="shared" si="0"/>
        <v>LUBELSKIE</v>
      </c>
      <c r="C119" s="4" t="s">
        <v>776</v>
      </c>
    </row>
    <row r="120" spans="1:3" x14ac:dyDescent="0.25">
      <c r="A120" s="22" t="s">
        <v>514</v>
      </c>
      <c r="B120" s="4" t="str">
        <f t="shared" si="0"/>
        <v>LUBUSKIE</v>
      </c>
      <c r="C120" s="4" t="s">
        <v>777</v>
      </c>
    </row>
    <row r="121" spans="1:3" x14ac:dyDescent="0.25">
      <c r="A121" s="22" t="s">
        <v>515</v>
      </c>
      <c r="B121" s="4" t="str">
        <f t="shared" si="0"/>
        <v>ŁÓDZKIE</v>
      </c>
      <c r="C121" s="4" t="s">
        <v>778</v>
      </c>
    </row>
    <row r="122" spans="1:3" x14ac:dyDescent="0.25">
      <c r="A122" s="22" t="s">
        <v>516</v>
      </c>
      <c r="B122" s="4" t="str">
        <f t="shared" si="0"/>
        <v>MAŁOPOLSKIE</v>
      </c>
      <c r="C122" s="4" t="s">
        <v>779</v>
      </c>
    </row>
    <row r="123" spans="1:3" x14ac:dyDescent="0.25">
      <c r="A123" s="22" t="s">
        <v>517</v>
      </c>
      <c r="B123" s="4" t="str">
        <f t="shared" si="0"/>
        <v>MAZOWIECKIE</v>
      </c>
      <c r="C123" s="4" t="s">
        <v>780</v>
      </c>
    </row>
    <row r="124" spans="1:3" x14ac:dyDescent="0.25">
      <c r="A124" s="22" t="s">
        <v>518</v>
      </c>
      <c r="B124" s="4" t="str">
        <f t="shared" si="0"/>
        <v>OPOLSKIE</v>
      </c>
      <c r="C124" s="4" t="s">
        <v>781</v>
      </c>
    </row>
    <row r="125" spans="1:3" x14ac:dyDescent="0.25">
      <c r="A125" s="22" t="s">
        <v>519</v>
      </c>
      <c r="B125" s="4" t="str">
        <f t="shared" si="0"/>
        <v>PODKARPACKIE</v>
      </c>
      <c r="C125" s="4" t="s">
        <v>782</v>
      </c>
    </row>
    <row r="126" spans="1:3" x14ac:dyDescent="0.25">
      <c r="A126" s="22" t="s">
        <v>520</v>
      </c>
      <c r="B126" s="4" t="str">
        <f t="shared" si="0"/>
        <v>PODLASKIE</v>
      </c>
      <c r="C126" s="4" t="s">
        <v>783</v>
      </c>
    </row>
    <row r="127" spans="1:3" x14ac:dyDescent="0.25">
      <c r="A127" s="22" t="s">
        <v>521</v>
      </c>
      <c r="B127" s="4" t="str">
        <f t="shared" si="0"/>
        <v>POMORSKIE</v>
      </c>
      <c r="C127" s="4" t="s">
        <v>784</v>
      </c>
    </row>
    <row r="128" spans="1:3" x14ac:dyDescent="0.25">
      <c r="A128" s="22" t="s">
        <v>522</v>
      </c>
      <c r="B128" s="4" t="str">
        <f t="shared" si="0"/>
        <v>ŚLĄSKIE</v>
      </c>
      <c r="C128" s="4" t="s">
        <v>785</v>
      </c>
    </row>
    <row r="129" spans="1:6" x14ac:dyDescent="0.25">
      <c r="A129" s="22" t="s">
        <v>523</v>
      </c>
      <c r="B129" s="4" t="str">
        <f t="shared" si="0"/>
        <v>ŚWIĘTOKRZYSKIE</v>
      </c>
      <c r="C129" s="4" t="s">
        <v>786</v>
      </c>
    </row>
    <row r="130" spans="1:6" x14ac:dyDescent="0.25">
      <c r="A130" s="22" t="s">
        <v>524</v>
      </c>
      <c r="B130" s="4" t="str">
        <f t="shared" si="0"/>
        <v>WARMIŃSKO-MAZURSKIE</v>
      </c>
      <c r="C130" s="4" t="s">
        <v>787</v>
      </c>
    </row>
    <row r="131" spans="1:6" x14ac:dyDescent="0.25">
      <c r="A131" s="22" t="s">
        <v>525</v>
      </c>
      <c r="B131" s="4" t="str">
        <f t="shared" si="0"/>
        <v>WIELKOPOLSKIE</v>
      </c>
      <c r="C131" s="4" t="s">
        <v>788</v>
      </c>
    </row>
    <row r="132" spans="1:6" x14ac:dyDescent="0.25">
      <c r="A132" s="22" t="s">
        <v>526</v>
      </c>
      <c r="B132" s="4" t="str">
        <f t="shared" si="0"/>
        <v>ZACHODNIOPOMORSKIE</v>
      </c>
      <c r="C132" s="4" t="s">
        <v>789</v>
      </c>
    </row>
    <row r="134" spans="1:6" x14ac:dyDescent="0.25">
      <c r="A134" s="4" t="s">
        <v>619</v>
      </c>
      <c r="B134" s="4" t="s">
        <v>620</v>
      </c>
    </row>
    <row r="135" spans="1:6" x14ac:dyDescent="0.25">
      <c r="B135" s="4" t="s">
        <v>619</v>
      </c>
    </row>
    <row r="136" spans="1:6" x14ac:dyDescent="0.25">
      <c r="B136" s="4" t="s">
        <v>620</v>
      </c>
    </row>
    <row r="138" spans="1:6" x14ac:dyDescent="0.25">
      <c r="A138" t="s">
        <v>635</v>
      </c>
    </row>
    <row r="139" spans="1:6" x14ac:dyDescent="0.25">
      <c r="A139" t="s">
        <v>544</v>
      </c>
      <c r="C139" s="32" t="s">
        <v>637</v>
      </c>
      <c r="E139" s="3" t="s">
        <v>638</v>
      </c>
      <c r="F139" s="4" t="s">
        <v>640</v>
      </c>
    </row>
    <row r="140" spans="1:6" x14ac:dyDescent="0.25">
      <c r="A140" t="s">
        <v>545</v>
      </c>
      <c r="C140" s="29" t="s">
        <v>318</v>
      </c>
      <c r="E140" s="3" t="s">
        <v>639</v>
      </c>
      <c r="F140" s="4" t="s">
        <v>641</v>
      </c>
    </row>
    <row r="141" spans="1:6" x14ac:dyDescent="0.25">
      <c r="A141" t="s">
        <v>546</v>
      </c>
      <c r="C141" s="30" t="s">
        <v>299</v>
      </c>
    </row>
    <row r="142" spans="1:6" x14ac:dyDescent="0.25">
      <c r="A142" t="s">
        <v>547</v>
      </c>
      <c r="C142" s="30" t="s">
        <v>319</v>
      </c>
    </row>
    <row r="143" spans="1:6" x14ac:dyDescent="0.25">
      <c r="A143" t="s">
        <v>548</v>
      </c>
      <c r="C143" s="30" t="s">
        <v>300</v>
      </c>
    </row>
    <row r="144" spans="1:6" x14ac:dyDescent="0.25">
      <c r="A144" t="s">
        <v>549</v>
      </c>
      <c r="C144" s="30" t="s">
        <v>320</v>
      </c>
    </row>
    <row r="145" spans="1:3" x14ac:dyDescent="0.25">
      <c r="A145" t="s">
        <v>550</v>
      </c>
      <c r="C145" s="30" t="s">
        <v>301</v>
      </c>
    </row>
    <row r="146" spans="1:3" x14ac:dyDescent="0.25">
      <c r="A146" t="s">
        <v>551</v>
      </c>
      <c r="C146" s="30" t="s">
        <v>302</v>
      </c>
    </row>
    <row r="147" spans="1:3" x14ac:dyDescent="0.25">
      <c r="A147" t="s">
        <v>552</v>
      </c>
      <c r="C147" s="31" t="s">
        <v>321</v>
      </c>
    </row>
    <row r="148" spans="1:3" x14ac:dyDescent="0.25">
      <c r="A148" t="s">
        <v>553</v>
      </c>
    </row>
    <row r="149" spans="1:3" x14ac:dyDescent="0.25">
      <c r="A149" t="s">
        <v>554</v>
      </c>
    </row>
    <row r="150" spans="1:3" x14ac:dyDescent="0.25">
      <c r="A150" t="s">
        <v>555</v>
      </c>
    </row>
    <row r="151" spans="1:3" x14ac:dyDescent="0.25">
      <c r="A151" t="s">
        <v>556</v>
      </c>
    </row>
    <row r="152" spans="1:3" x14ac:dyDescent="0.25">
      <c r="A152" t="s">
        <v>557</v>
      </c>
    </row>
    <row r="153" spans="1:3" x14ac:dyDescent="0.25">
      <c r="A153" t="s">
        <v>558</v>
      </c>
    </row>
    <row r="154" spans="1:3" x14ac:dyDescent="0.25">
      <c r="A154" t="s">
        <v>559</v>
      </c>
    </row>
    <row r="155" spans="1:3" x14ac:dyDescent="0.25">
      <c r="A155" t="s">
        <v>560</v>
      </c>
    </row>
    <row r="156" spans="1:3" x14ac:dyDescent="0.25">
      <c r="A156" t="s">
        <v>561</v>
      </c>
    </row>
    <row r="157" spans="1:3" x14ac:dyDescent="0.25">
      <c r="A157" t="s">
        <v>562</v>
      </c>
    </row>
    <row r="158" spans="1:3" x14ac:dyDescent="0.25">
      <c r="A158" t="s">
        <v>563</v>
      </c>
    </row>
    <row r="159" spans="1:3" x14ac:dyDescent="0.25">
      <c r="A159" t="s">
        <v>564</v>
      </c>
    </row>
    <row r="160" spans="1:3" x14ac:dyDescent="0.25">
      <c r="A160" t="s">
        <v>565</v>
      </c>
    </row>
    <row r="161" spans="1:1" x14ac:dyDescent="0.25">
      <c r="A161" t="s">
        <v>566</v>
      </c>
    </row>
    <row r="162" spans="1:1" x14ac:dyDescent="0.25">
      <c r="A162" t="s">
        <v>567</v>
      </c>
    </row>
    <row r="163" spans="1:1" x14ac:dyDescent="0.25">
      <c r="A163" t="s">
        <v>568</v>
      </c>
    </row>
    <row r="164" spans="1:1" x14ac:dyDescent="0.25">
      <c r="A164" t="s">
        <v>569</v>
      </c>
    </row>
    <row r="165" spans="1:1" x14ac:dyDescent="0.25">
      <c r="A165" t="s">
        <v>570</v>
      </c>
    </row>
    <row r="166" spans="1:1" x14ac:dyDescent="0.25">
      <c r="A166" t="s">
        <v>571</v>
      </c>
    </row>
    <row r="167" spans="1:1" x14ac:dyDescent="0.25">
      <c r="A167" t="s">
        <v>572</v>
      </c>
    </row>
    <row r="168" spans="1:1" x14ac:dyDescent="0.25">
      <c r="A168" t="s">
        <v>573</v>
      </c>
    </row>
    <row r="169" spans="1:1" x14ac:dyDescent="0.25">
      <c r="A169" t="s">
        <v>574</v>
      </c>
    </row>
    <row r="170" spans="1:1" x14ac:dyDescent="0.25">
      <c r="A170" t="s">
        <v>575</v>
      </c>
    </row>
    <row r="171" spans="1:1" x14ac:dyDescent="0.25">
      <c r="A171" t="s">
        <v>576</v>
      </c>
    </row>
    <row r="172" spans="1:1" x14ac:dyDescent="0.25">
      <c r="A172" t="s">
        <v>577</v>
      </c>
    </row>
    <row r="173" spans="1:1" x14ac:dyDescent="0.25">
      <c r="A173" t="s">
        <v>578</v>
      </c>
    </row>
    <row r="174" spans="1:1" x14ac:dyDescent="0.25">
      <c r="A174" t="s">
        <v>579</v>
      </c>
    </row>
    <row r="175" spans="1:1" x14ac:dyDescent="0.25">
      <c r="A175" t="s">
        <v>580</v>
      </c>
    </row>
    <row r="176" spans="1:1" x14ac:dyDescent="0.25">
      <c r="A176" t="s">
        <v>581</v>
      </c>
    </row>
    <row r="177" spans="1:11" x14ac:dyDescent="0.25">
      <c r="A177" t="s">
        <v>582</v>
      </c>
    </row>
    <row r="178" spans="1:11" x14ac:dyDescent="0.25">
      <c r="A178" t="s">
        <v>583</v>
      </c>
    </row>
    <row r="179" spans="1:11" x14ac:dyDescent="0.25">
      <c r="A179" t="s">
        <v>584</v>
      </c>
    </row>
    <row r="180" spans="1:11" x14ac:dyDescent="0.25">
      <c r="A180" t="s">
        <v>585</v>
      </c>
    </row>
    <row r="181" spans="1:11" x14ac:dyDescent="0.25">
      <c r="A181" t="s">
        <v>586</v>
      </c>
    </row>
    <row r="182" spans="1:11" x14ac:dyDescent="0.25">
      <c r="A182" t="s">
        <v>587</v>
      </c>
    </row>
    <row r="183" spans="1:11" x14ac:dyDescent="0.25">
      <c r="A183" t="s">
        <v>588</v>
      </c>
    </row>
    <row r="184" spans="1:11" x14ac:dyDescent="0.25">
      <c r="A184" t="s">
        <v>589</v>
      </c>
    </row>
    <row r="185" spans="1:11" x14ac:dyDescent="0.25">
      <c r="A185" t="s">
        <v>590</v>
      </c>
      <c r="J185" s="4" t="s">
        <v>498</v>
      </c>
      <c r="K185" s="4" t="s">
        <v>509</v>
      </c>
    </row>
    <row r="186" spans="1:11" x14ac:dyDescent="0.25">
      <c r="A186" t="s">
        <v>591</v>
      </c>
    </row>
    <row r="187" spans="1:11" x14ac:dyDescent="0.25">
      <c r="A187" t="s">
        <v>592</v>
      </c>
    </row>
    <row r="188" spans="1:11" x14ac:dyDescent="0.25">
      <c r="A188" t="s">
        <v>593</v>
      </c>
    </row>
    <row r="189" spans="1:11" x14ac:dyDescent="0.25">
      <c r="A189" t="s">
        <v>594</v>
      </c>
    </row>
    <row r="190" spans="1:11" x14ac:dyDescent="0.25">
      <c r="A190" t="s">
        <v>595</v>
      </c>
    </row>
    <row r="191" spans="1:11" x14ac:dyDescent="0.25">
      <c r="A191" t="s">
        <v>596</v>
      </c>
    </row>
    <row r="192" spans="1:11" x14ac:dyDescent="0.25">
      <c r="A192" t="s">
        <v>597</v>
      </c>
    </row>
    <row r="193" spans="1:1" x14ac:dyDescent="0.25">
      <c r="A193" t="s">
        <v>598</v>
      </c>
    </row>
    <row r="194" spans="1:1" x14ac:dyDescent="0.25">
      <c r="A194" t="s">
        <v>599</v>
      </c>
    </row>
    <row r="195" spans="1:1" x14ac:dyDescent="0.25">
      <c r="A195" t="s">
        <v>600</v>
      </c>
    </row>
    <row r="196" spans="1:1" x14ac:dyDescent="0.25">
      <c r="A196" t="s">
        <v>601</v>
      </c>
    </row>
    <row r="197" spans="1:1" x14ac:dyDescent="0.25">
      <c r="A197" t="s">
        <v>602</v>
      </c>
    </row>
    <row r="198" spans="1:1" x14ac:dyDescent="0.25">
      <c r="A198" t="s">
        <v>603</v>
      </c>
    </row>
    <row r="199" spans="1:1" x14ac:dyDescent="0.25">
      <c r="A199" t="s">
        <v>604</v>
      </c>
    </row>
    <row r="200" spans="1:1" x14ac:dyDescent="0.25">
      <c r="A200" t="s">
        <v>605</v>
      </c>
    </row>
    <row r="201" spans="1:1" x14ac:dyDescent="0.25">
      <c r="A201" t="s">
        <v>606</v>
      </c>
    </row>
    <row r="202" spans="1:1" x14ac:dyDescent="0.25">
      <c r="A202" t="s">
        <v>607</v>
      </c>
    </row>
    <row r="203" spans="1:1" x14ac:dyDescent="0.25">
      <c r="A203" t="s">
        <v>608</v>
      </c>
    </row>
    <row r="204" spans="1:1" x14ac:dyDescent="0.25">
      <c r="A204" t="s">
        <v>609</v>
      </c>
    </row>
    <row r="205" spans="1:1" x14ac:dyDescent="0.25">
      <c r="A205" t="s">
        <v>610</v>
      </c>
    </row>
    <row r="215" spans="1:89" x14ac:dyDescent="0.25">
      <c r="A215" s="5" t="s">
        <v>342</v>
      </c>
      <c r="B215" s="5" t="s">
        <v>377</v>
      </c>
      <c r="C215" s="5" t="s">
        <v>390</v>
      </c>
      <c r="D215" s="5" t="s">
        <v>433</v>
      </c>
      <c r="E215" s="5" t="s">
        <v>434</v>
      </c>
      <c r="F215" s="5" t="s">
        <v>436</v>
      </c>
      <c r="G215" s="5" t="s">
        <v>412</v>
      </c>
      <c r="H215" s="5" t="s">
        <v>438</v>
      </c>
      <c r="I215" s="5" t="s">
        <v>439</v>
      </c>
      <c r="J215" s="5" t="s">
        <v>343</v>
      </c>
      <c r="K215" s="5" t="s">
        <v>378</v>
      </c>
      <c r="L215" s="5" t="s">
        <v>391</v>
      </c>
      <c r="M215" s="5" t="s">
        <v>400</v>
      </c>
      <c r="N215" s="5" t="s">
        <v>406</v>
      </c>
      <c r="O215" s="5" t="s">
        <v>410</v>
      </c>
      <c r="P215" s="5" t="s">
        <v>413</v>
      </c>
      <c r="Q215" s="5" t="s">
        <v>344</v>
      </c>
      <c r="R215" s="5" t="s">
        <v>379</v>
      </c>
      <c r="S215" s="5" t="s">
        <v>345</v>
      </c>
      <c r="T215" s="5" t="s">
        <v>380</v>
      </c>
      <c r="U215" s="5" t="s">
        <v>392</v>
      </c>
      <c r="V215" s="5" t="s">
        <v>401</v>
      </c>
      <c r="W215" s="5" t="s">
        <v>407</v>
      </c>
      <c r="X215" s="5" t="s">
        <v>346</v>
      </c>
      <c r="Y215" s="5" t="s">
        <v>424</v>
      </c>
      <c r="Z215" s="5" t="s">
        <v>347</v>
      </c>
      <c r="AA215" s="5" t="s">
        <v>348</v>
      </c>
      <c r="AB215" s="5" t="s">
        <v>349</v>
      </c>
      <c r="AC215" s="5" t="s">
        <v>350</v>
      </c>
      <c r="AD215" s="5" t="s">
        <v>351</v>
      </c>
      <c r="AE215" s="5" t="s">
        <v>381</v>
      </c>
      <c r="AF215" s="5" t="s">
        <v>393</v>
      </c>
      <c r="AG215" s="5" t="s">
        <v>402</v>
      </c>
      <c r="AH215" s="5" t="s">
        <v>435</v>
      </c>
      <c r="AI215" s="5" t="s">
        <v>352</v>
      </c>
      <c r="AJ215" s="5" t="s">
        <v>353</v>
      </c>
      <c r="AK215" s="5" t="s">
        <v>354</v>
      </c>
      <c r="AL215" s="5" t="s">
        <v>355</v>
      </c>
      <c r="AM215" s="5" t="s">
        <v>356</v>
      </c>
      <c r="AN215" s="5" t="s">
        <v>357</v>
      </c>
      <c r="AO215" s="5" t="s">
        <v>382</v>
      </c>
      <c r="AP215" s="5" t="s">
        <v>358</v>
      </c>
      <c r="AQ215" s="5" t="s">
        <v>383</v>
      </c>
      <c r="AR215" s="5" t="s">
        <v>359</v>
      </c>
      <c r="AS215" s="5" t="s">
        <v>360</v>
      </c>
      <c r="AT215" s="5" t="s">
        <v>361</v>
      </c>
      <c r="AU215" s="5" t="s">
        <v>362</v>
      </c>
      <c r="AV215" s="5" t="s">
        <v>363</v>
      </c>
      <c r="AW215" s="5" t="s">
        <v>364</v>
      </c>
      <c r="AX215" s="5" t="s">
        <v>365</v>
      </c>
      <c r="AY215" s="5" t="s">
        <v>384</v>
      </c>
      <c r="AZ215" s="5" t="s">
        <v>366</v>
      </c>
      <c r="BA215" s="5" t="s">
        <v>425</v>
      </c>
      <c r="BB215" s="5" t="s">
        <v>431</v>
      </c>
      <c r="BC215" s="5" t="s">
        <v>394</v>
      </c>
      <c r="BD215" s="5" t="s">
        <v>367</v>
      </c>
      <c r="BE215" s="5" t="s">
        <v>368</v>
      </c>
      <c r="BF215" s="5" t="s">
        <v>369</v>
      </c>
      <c r="BG215" s="5" t="s">
        <v>385</v>
      </c>
      <c r="BH215" s="5" t="s">
        <v>395</v>
      </c>
      <c r="BI215" s="5" t="s">
        <v>403</v>
      </c>
      <c r="BJ215" s="5" t="s">
        <v>426</v>
      </c>
      <c r="BK215" s="5" t="s">
        <v>432</v>
      </c>
      <c r="BL215" s="5" t="s">
        <v>396</v>
      </c>
      <c r="BM215" s="5" t="s">
        <v>404</v>
      </c>
      <c r="BN215" s="5" t="s">
        <v>408</v>
      </c>
      <c r="BO215" s="5" t="s">
        <v>437</v>
      </c>
      <c r="BP215" s="5" t="s">
        <v>370</v>
      </c>
      <c r="BQ215" s="5" t="s">
        <v>427</v>
      </c>
      <c r="BR215" s="5" t="s">
        <v>371</v>
      </c>
      <c r="BS215" s="5" t="s">
        <v>372</v>
      </c>
      <c r="BT215" s="5" t="s">
        <v>386</v>
      </c>
      <c r="BU215" s="5" t="s">
        <v>397</v>
      </c>
      <c r="BV215" s="5" t="s">
        <v>373</v>
      </c>
      <c r="BW215" s="5" t="s">
        <v>387</v>
      </c>
      <c r="BX215" s="5" t="s">
        <v>374</v>
      </c>
      <c r="BY215" s="5" t="s">
        <v>375</v>
      </c>
      <c r="BZ215" s="5" t="s">
        <v>388</v>
      </c>
      <c r="CA215" s="5" t="s">
        <v>398</v>
      </c>
      <c r="CB215" s="5" t="s">
        <v>428</v>
      </c>
      <c r="CC215" s="5" t="s">
        <v>429</v>
      </c>
      <c r="CD215" s="5" t="s">
        <v>376</v>
      </c>
      <c r="CE215" s="5" t="s">
        <v>430</v>
      </c>
      <c r="CF215" s="5" t="s">
        <v>389</v>
      </c>
      <c r="CG215" s="5" t="s">
        <v>399</v>
      </c>
      <c r="CH215" s="5" t="s">
        <v>405</v>
      </c>
      <c r="CI215" s="5" t="s">
        <v>409</v>
      </c>
      <c r="CJ215" s="5" t="s">
        <v>411</v>
      </c>
      <c r="CK215" s="5" t="s">
        <v>414</v>
      </c>
    </row>
    <row r="216" spans="1:89" x14ac:dyDescent="0.25">
      <c r="A216" s="4" t="s">
        <v>440</v>
      </c>
      <c r="B216" s="4" t="s">
        <v>441</v>
      </c>
      <c r="C216" s="4" t="s">
        <v>643</v>
      </c>
      <c r="D216" s="4" t="s">
        <v>442</v>
      </c>
      <c r="E216" s="4" t="s">
        <v>443</v>
      </c>
      <c r="F216" s="4" t="s">
        <v>448</v>
      </c>
      <c r="G216" s="4" t="s">
        <v>654</v>
      </c>
      <c r="H216" s="4" t="s">
        <v>450</v>
      </c>
      <c r="I216" s="4" t="s">
        <v>453</v>
      </c>
      <c r="J216" s="4" t="s">
        <v>655</v>
      </c>
      <c r="K216" s="4" t="s">
        <v>657</v>
      </c>
      <c r="L216" s="4" t="s">
        <v>659</v>
      </c>
      <c r="M216" s="4" t="s">
        <v>661</v>
      </c>
      <c r="N216" s="4" t="s">
        <v>663</v>
      </c>
      <c r="O216" s="4" t="s">
        <v>665</v>
      </c>
      <c r="P216" s="4" t="s">
        <v>667</v>
      </c>
      <c r="Q216" s="4" t="s">
        <v>669</v>
      </c>
      <c r="R216" s="4" t="s">
        <v>670</v>
      </c>
      <c r="S216" s="4" t="s">
        <v>454</v>
      </c>
      <c r="T216" s="4" t="s">
        <v>455</v>
      </c>
      <c r="U216" s="4" t="s">
        <v>456</v>
      </c>
      <c r="V216" s="4" t="s">
        <v>678</v>
      </c>
      <c r="W216" s="4" t="s">
        <v>679</v>
      </c>
      <c r="X216" s="4" t="s">
        <v>457</v>
      </c>
      <c r="Y216" s="4" t="s">
        <v>680</v>
      </c>
      <c r="Z216" s="4" t="s">
        <v>458</v>
      </c>
      <c r="AA216" s="4" t="s">
        <v>681</v>
      </c>
      <c r="AB216" s="4" t="s">
        <v>682</v>
      </c>
      <c r="AC216" s="4" t="s">
        <v>683</v>
      </c>
      <c r="AD216" s="4" t="s">
        <v>459</v>
      </c>
      <c r="AE216" s="4" t="s">
        <v>460</v>
      </c>
      <c r="AF216" s="4" t="s">
        <v>684</v>
      </c>
      <c r="AG216" s="4" t="s">
        <v>461</v>
      </c>
      <c r="AH216" s="4" t="s">
        <v>685</v>
      </c>
      <c r="AI216" s="4" t="s">
        <v>686</v>
      </c>
      <c r="AJ216" s="4" t="s">
        <v>687</v>
      </c>
      <c r="AK216" s="4" t="s">
        <v>462</v>
      </c>
      <c r="AL216" s="4" t="s">
        <v>688</v>
      </c>
      <c r="AM216" s="4" t="s">
        <v>463</v>
      </c>
      <c r="AN216" s="4" t="s">
        <v>689</v>
      </c>
      <c r="AO216" s="4" t="s">
        <v>465</v>
      </c>
      <c r="AP216" s="4" t="s">
        <v>690</v>
      </c>
      <c r="AQ216" s="4" t="s">
        <v>691</v>
      </c>
      <c r="AR216" s="4" t="s">
        <v>692</v>
      </c>
      <c r="AS216" s="4" t="s">
        <v>693</v>
      </c>
      <c r="AT216" s="4" t="s">
        <v>694</v>
      </c>
      <c r="AU216" s="4" t="s">
        <v>466</v>
      </c>
      <c r="AV216" s="4" t="s">
        <v>467</v>
      </c>
      <c r="AW216" s="4" t="s">
        <v>695</v>
      </c>
      <c r="AX216" s="4" t="s">
        <v>696</v>
      </c>
      <c r="AY216" s="4" t="s">
        <v>697</v>
      </c>
      <c r="AZ216" s="4" t="s">
        <v>468</v>
      </c>
      <c r="BA216" s="4" t="s">
        <v>699</v>
      </c>
      <c r="BB216" s="4" t="s">
        <v>700</v>
      </c>
      <c r="BC216" s="4" t="s">
        <v>701</v>
      </c>
      <c r="BD216" s="4" t="s">
        <v>702</v>
      </c>
      <c r="BE216" s="4" t="s">
        <v>703</v>
      </c>
      <c r="BF216" s="4" t="s">
        <v>704</v>
      </c>
      <c r="BG216" s="4" t="s">
        <v>706</v>
      </c>
      <c r="BH216" s="4" t="s">
        <v>708</v>
      </c>
      <c r="BI216" s="4" t="s">
        <v>710</v>
      </c>
      <c r="BJ216" s="4" t="s">
        <v>711</v>
      </c>
      <c r="BK216" s="4" t="s">
        <v>712</v>
      </c>
      <c r="BL216" s="4" t="s">
        <v>718</v>
      </c>
      <c r="BM216" s="4" t="s">
        <v>719</v>
      </c>
      <c r="BN216" s="4" t="s">
        <v>720</v>
      </c>
      <c r="BO216" s="4" t="s">
        <v>728</v>
      </c>
      <c r="BP216" s="4" t="s">
        <v>731</v>
      </c>
      <c r="BQ216" s="4" t="s">
        <v>469</v>
      </c>
      <c r="BR216" s="4" t="s">
        <v>732</v>
      </c>
      <c r="BS216" s="4" t="s">
        <v>734</v>
      </c>
      <c r="BT216" s="4" t="s">
        <v>735</v>
      </c>
      <c r="BU216" s="4" t="s">
        <v>736</v>
      </c>
      <c r="BV216" s="4" t="s">
        <v>737</v>
      </c>
      <c r="BW216" s="4" t="s">
        <v>738</v>
      </c>
      <c r="BX216" s="4" t="s">
        <v>739</v>
      </c>
      <c r="BY216" s="4" t="s">
        <v>741</v>
      </c>
      <c r="BZ216" s="4" t="s">
        <v>742</v>
      </c>
      <c r="CA216" s="4" t="s">
        <v>743</v>
      </c>
      <c r="CB216" s="4" t="s">
        <v>744</v>
      </c>
      <c r="CC216" s="4" t="s">
        <v>746</v>
      </c>
      <c r="CD216" s="4" t="s">
        <v>749</v>
      </c>
      <c r="CE216" s="4" t="s">
        <v>753</v>
      </c>
      <c r="CF216" s="4" t="s">
        <v>758</v>
      </c>
      <c r="CG216" s="4" t="s">
        <v>759</v>
      </c>
      <c r="CH216" s="4" t="s">
        <v>766</v>
      </c>
      <c r="CI216" s="4" t="s">
        <v>767</v>
      </c>
      <c r="CJ216" s="4" t="s">
        <v>768</v>
      </c>
      <c r="CK216" s="4" t="s">
        <v>769</v>
      </c>
    </row>
    <row r="217" spans="1:89" x14ac:dyDescent="0.25">
      <c r="B217" s="4" t="s">
        <v>642</v>
      </c>
      <c r="C217" s="4" t="s">
        <v>644</v>
      </c>
      <c r="D217" s="4" t="s">
        <v>647</v>
      </c>
      <c r="E217" s="4" t="s">
        <v>648</v>
      </c>
      <c r="F217" s="4" t="s">
        <v>653</v>
      </c>
      <c r="H217" s="4" t="s">
        <v>451</v>
      </c>
      <c r="J217" s="4" t="s">
        <v>656</v>
      </c>
      <c r="K217" s="4" t="s">
        <v>658</v>
      </c>
      <c r="L217" s="4" t="s">
        <v>660</v>
      </c>
      <c r="M217" s="4" t="s">
        <v>662</v>
      </c>
      <c r="N217" s="4" t="s">
        <v>664</v>
      </c>
      <c r="O217" s="4" t="s">
        <v>666</v>
      </c>
      <c r="P217" s="4" t="s">
        <v>668</v>
      </c>
      <c r="S217" s="4" t="s">
        <v>671</v>
      </c>
      <c r="U217" s="4" t="s">
        <v>676</v>
      </c>
      <c r="AM217" s="4" t="s">
        <v>464</v>
      </c>
      <c r="AZ217" s="4" t="s">
        <v>698</v>
      </c>
      <c r="BF217" s="4" t="s">
        <v>705</v>
      </c>
      <c r="BG217" s="4" t="s">
        <v>707</v>
      </c>
      <c r="BH217" s="4" t="s">
        <v>709</v>
      </c>
      <c r="BK217" s="4" t="s">
        <v>713</v>
      </c>
      <c r="BN217" s="4" t="s">
        <v>721</v>
      </c>
      <c r="BO217" s="4" t="s">
        <v>729</v>
      </c>
      <c r="BR217" s="4" t="s">
        <v>733</v>
      </c>
      <c r="BX217" s="4" t="s">
        <v>740</v>
      </c>
      <c r="CB217" s="4" t="s">
        <v>745</v>
      </c>
      <c r="CC217" s="4" t="s">
        <v>747</v>
      </c>
      <c r="CD217" s="4" t="s">
        <v>750</v>
      </c>
      <c r="CE217" s="4" t="s">
        <v>754</v>
      </c>
      <c r="CG217" s="4" t="s">
        <v>470</v>
      </c>
    </row>
    <row r="218" spans="1:89" x14ac:dyDescent="0.25">
      <c r="C218" s="4" t="s">
        <v>645</v>
      </c>
      <c r="E218" s="4" t="s">
        <v>444</v>
      </c>
      <c r="F218" s="4" t="s">
        <v>449</v>
      </c>
      <c r="H218" s="4" t="s">
        <v>452</v>
      </c>
      <c r="S218" s="4" t="s">
        <v>672</v>
      </c>
      <c r="U218" s="4" t="s">
        <v>677</v>
      </c>
      <c r="BK218" s="4" t="s">
        <v>714</v>
      </c>
      <c r="BN218" s="4" t="s">
        <v>722</v>
      </c>
      <c r="BO218" s="4" t="s">
        <v>730</v>
      </c>
      <c r="CC218" s="4" t="s">
        <v>748</v>
      </c>
      <c r="CD218" s="4" t="s">
        <v>751</v>
      </c>
      <c r="CE218" s="4" t="s">
        <v>755</v>
      </c>
      <c r="CG218" s="4" t="s">
        <v>471</v>
      </c>
    </row>
    <row r="219" spans="1:89" x14ac:dyDescent="0.25">
      <c r="C219" s="4" t="s">
        <v>646</v>
      </c>
      <c r="E219" s="4" t="s">
        <v>649</v>
      </c>
      <c r="S219" s="4" t="s">
        <v>673</v>
      </c>
      <c r="BK219" s="4" t="s">
        <v>715</v>
      </c>
      <c r="BN219" s="4" t="s">
        <v>723</v>
      </c>
      <c r="CD219" s="4" t="s">
        <v>752</v>
      </c>
      <c r="CE219" s="4" t="s">
        <v>756</v>
      </c>
      <c r="CG219" s="4" t="s">
        <v>760</v>
      </c>
    </row>
    <row r="220" spans="1:89" x14ac:dyDescent="0.25">
      <c r="E220" s="4" t="s">
        <v>650</v>
      </c>
      <c r="S220" s="4" t="s">
        <v>674</v>
      </c>
      <c r="BK220" s="4" t="s">
        <v>716</v>
      </c>
      <c r="BN220" s="4" t="s">
        <v>724</v>
      </c>
      <c r="CE220" s="4" t="s">
        <v>757</v>
      </c>
      <c r="CG220" s="4" t="s">
        <v>761</v>
      </c>
    </row>
    <row r="221" spans="1:89" x14ac:dyDescent="0.25">
      <c r="E221" s="4" t="s">
        <v>446</v>
      </c>
      <c r="S221" s="4" t="s">
        <v>675</v>
      </c>
      <c r="BK221" s="4" t="s">
        <v>717</v>
      </c>
      <c r="BN221" s="4" t="s">
        <v>725</v>
      </c>
      <c r="CG221" s="4" t="s">
        <v>762</v>
      </c>
    </row>
    <row r="222" spans="1:89" x14ac:dyDescent="0.25">
      <c r="E222" s="4" t="s">
        <v>651</v>
      </c>
      <c r="BN222" s="4" t="s">
        <v>726</v>
      </c>
      <c r="CG222" s="4" t="s">
        <v>763</v>
      </c>
    </row>
    <row r="223" spans="1:89" x14ac:dyDescent="0.25">
      <c r="E223" s="4" t="s">
        <v>447</v>
      </c>
      <c r="BN223" s="4" t="s">
        <v>727</v>
      </c>
      <c r="CG223" s="4" t="s">
        <v>764</v>
      </c>
    </row>
    <row r="224" spans="1:89" x14ac:dyDescent="0.25">
      <c r="E224" s="4" t="s">
        <v>652</v>
      </c>
      <c r="CG224" s="4" t="s">
        <v>765</v>
      </c>
    </row>
  </sheetData>
  <sortState xmlns:xlrd2="http://schemas.microsoft.com/office/spreadsheetml/2017/richdata2" ref="AP14:AP28">
    <sortCondition ref="AP14:AP28"/>
  </sortState>
  <conditionalFormatting sqref="K1:L6">
    <cfRule type="expression" dxfId="44" priority="1">
      <formula>MOD(ROW(),2)=1</formula>
    </cfRule>
  </conditionalFormatting>
  <dataValidations count="5">
    <dataValidation type="list" allowBlank="1" showInputMessage="1" showErrorMessage="1" sqref="L1" xr:uid="{9D427913-C8BC-4646-ABCB-54993EF1E7FA}">
      <formula1>$A$1:$H$1</formula1>
    </dataValidation>
    <dataValidation type="list" allowBlank="1" showInputMessage="1" showErrorMessage="1" sqref="L2 L4" xr:uid="{30519B2A-2214-4EE9-87F6-DEBC8CF9F7E0}">
      <formula1>INDIRECT(L1)</formula1>
    </dataValidation>
    <dataValidation type="list" allowBlank="1" showInputMessage="1" showErrorMessage="1" sqref="L3" xr:uid="{C238415E-AF8D-4C62-BDE0-463C74B3F0D2}">
      <formula1>INDIRECT(A13)</formula1>
    </dataValidation>
    <dataValidation type="list" allowBlank="1" showInputMessage="1" showErrorMessage="1" sqref="L6" xr:uid="{7990436B-09E2-4350-A1CC-23019F24160A}">
      <formula1>$R$1:$AD$1</formula1>
    </dataValidation>
    <dataValidation type="list" allowBlank="1" showInputMessage="1" showErrorMessage="1" sqref="L5" xr:uid="{42209D3E-9B1A-4835-895D-1E11C3D08E9E}">
      <formula1>$Q$2:$Q$5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76FD6-E209-4B56-ADFA-6D905A0C9CA9}">
  <sheetPr codeName="Sheet3"/>
  <dimension ref="A1:H32"/>
  <sheetViews>
    <sheetView showGridLines="0" zoomScale="115" zoomScaleNormal="115" workbookViewId="0">
      <selection activeCell="B16" sqref="B16"/>
    </sheetView>
  </sheetViews>
  <sheetFormatPr defaultRowHeight="15" x14ac:dyDescent="0.25"/>
  <cols>
    <col min="1" max="1" width="39.42578125" bestFit="1" customWidth="1"/>
    <col min="2" max="2" width="30.7109375" customWidth="1"/>
    <col min="4" max="4" width="57.42578125" bestFit="1" customWidth="1"/>
    <col min="5" max="5" width="13.140625" bestFit="1" customWidth="1"/>
    <col min="7" max="7" width="38.5703125" bestFit="1" customWidth="1"/>
    <col min="8" max="8" width="22.42578125" customWidth="1"/>
  </cols>
  <sheetData>
    <row r="1" spans="1:8" ht="15.75" thickBot="1" x14ac:dyDescent="0.3">
      <c r="A1" s="15" t="s">
        <v>495</v>
      </c>
      <c r="B1" s="16" t="s">
        <v>496</v>
      </c>
      <c r="D1" s="48" t="s">
        <v>632</v>
      </c>
      <c r="E1" s="48"/>
      <c r="G1" s="15" t="s">
        <v>622</v>
      </c>
      <c r="H1" s="16" t="s">
        <v>496</v>
      </c>
    </row>
    <row r="2" spans="1:8" ht="15.75" thickTop="1" x14ac:dyDescent="0.25">
      <c r="A2" s="17" t="s">
        <v>497</v>
      </c>
      <c r="B2" s="18"/>
      <c r="D2" s="17" t="s">
        <v>621</v>
      </c>
      <c r="E2" s="18" t="s">
        <v>619</v>
      </c>
      <c r="G2" s="26" t="s">
        <v>497</v>
      </c>
      <c r="H2" s="18"/>
    </row>
    <row r="3" spans="1:8" x14ac:dyDescent="0.25">
      <c r="A3" s="19" t="s">
        <v>499</v>
      </c>
      <c r="B3" s="20"/>
      <c r="D3" s="17" t="s">
        <v>633</v>
      </c>
      <c r="E3" s="18"/>
      <c r="G3" s="27" t="s">
        <v>499</v>
      </c>
      <c r="H3" s="20"/>
    </row>
    <row r="4" spans="1:8" x14ac:dyDescent="0.25">
      <c r="A4" s="17" t="s">
        <v>500</v>
      </c>
      <c r="B4" s="18"/>
      <c r="G4" s="26" t="s">
        <v>500</v>
      </c>
      <c r="H4" s="18"/>
    </row>
    <row r="5" spans="1:8" x14ac:dyDescent="0.25">
      <c r="A5" s="19" t="s">
        <v>614</v>
      </c>
      <c r="B5" s="20"/>
      <c r="G5" s="27" t="s">
        <v>614</v>
      </c>
      <c r="H5" s="20"/>
    </row>
    <row r="6" spans="1:8" x14ac:dyDescent="0.25">
      <c r="A6" s="17" t="s">
        <v>615</v>
      </c>
      <c r="B6" s="18"/>
      <c r="G6" s="26" t="s">
        <v>615</v>
      </c>
      <c r="H6" s="18"/>
    </row>
    <row r="7" spans="1:8" x14ac:dyDescent="0.25">
      <c r="A7" s="19" t="s">
        <v>616</v>
      </c>
      <c r="B7" s="20"/>
      <c r="G7" s="27" t="s">
        <v>616</v>
      </c>
      <c r="H7" s="20"/>
    </row>
    <row r="8" spans="1:8" x14ac:dyDescent="0.25">
      <c r="A8" s="17" t="s">
        <v>617</v>
      </c>
      <c r="B8" s="18"/>
      <c r="G8" s="26" t="s">
        <v>617</v>
      </c>
      <c r="H8" s="18"/>
    </row>
    <row r="9" spans="1:8" x14ac:dyDescent="0.25">
      <c r="A9" s="19" t="s">
        <v>618</v>
      </c>
      <c r="B9" s="20"/>
      <c r="G9" s="27" t="s">
        <v>618</v>
      </c>
      <c r="H9" s="20"/>
    </row>
    <row r="10" spans="1:8" x14ac:dyDescent="0.25">
      <c r="A10" s="17" t="s">
        <v>501</v>
      </c>
      <c r="B10" s="18"/>
      <c r="G10" s="26" t="s">
        <v>501</v>
      </c>
      <c r="H10" s="18"/>
    </row>
    <row r="11" spans="1:8" x14ac:dyDescent="0.25">
      <c r="A11" s="19" t="s">
        <v>502</v>
      </c>
      <c r="B11" s="20"/>
      <c r="G11" s="27" t="s">
        <v>502</v>
      </c>
      <c r="H11" s="20"/>
    </row>
    <row r="12" spans="1:8" x14ac:dyDescent="0.25">
      <c r="A12" s="17" t="s">
        <v>503</v>
      </c>
      <c r="B12" s="18"/>
      <c r="G12" s="26" t="s">
        <v>503</v>
      </c>
      <c r="H12" s="18"/>
    </row>
    <row r="13" spans="1:8" x14ac:dyDescent="0.25">
      <c r="A13" s="17" t="s">
        <v>540</v>
      </c>
      <c r="B13" t="s">
        <v>318</v>
      </c>
      <c r="G13" s="26" t="s">
        <v>623</v>
      </c>
    </row>
    <row r="14" spans="1:8" x14ac:dyDescent="0.25">
      <c r="A14" s="17" t="s">
        <v>541</v>
      </c>
      <c r="B14" t="s">
        <v>306</v>
      </c>
      <c r="G14" s="26" t="s">
        <v>624</v>
      </c>
    </row>
    <row r="15" spans="1:8" x14ac:dyDescent="0.25">
      <c r="A15" s="17" t="s">
        <v>542</v>
      </c>
      <c r="B15" t="s">
        <v>400</v>
      </c>
      <c r="G15" s="26" t="s">
        <v>625</v>
      </c>
    </row>
    <row r="16" spans="1:8" x14ac:dyDescent="0.25">
      <c r="A16" s="17" t="s">
        <v>543</v>
      </c>
      <c r="G16" s="26" t="s">
        <v>626</v>
      </c>
    </row>
    <row r="17" spans="1:7" x14ac:dyDescent="0.25">
      <c r="A17" s="17" t="s">
        <v>612</v>
      </c>
      <c r="G17" s="26" t="s">
        <v>627</v>
      </c>
    </row>
    <row r="18" spans="1:7" x14ac:dyDescent="0.25">
      <c r="A18" s="17" t="s">
        <v>510</v>
      </c>
      <c r="G18" s="26" t="s">
        <v>628</v>
      </c>
    </row>
    <row r="19" spans="1:7" x14ac:dyDescent="0.25">
      <c r="A19" s="19" t="s">
        <v>504</v>
      </c>
      <c r="G19" s="27" t="s">
        <v>504</v>
      </c>
    </row>
    <row r="20" spans="1:7" x14ac:dyDescent="0.25">
      <c r="A20" s="17" t="s">
        <v>505</v>
      </c>
      <c r="G20" s="26" t="s">
        <v>505</v>
      </c>
    </row>
    <row r="21" spans="1:7" x14ac:dyDescent="0.25">
      <c r="A21" s="19" t="s">
        <v>506</v>
      </c>
      <c r="G21" s="27" t="s">
        <v>506</v>
      </c>
    </row>
    <row r="22" spans="1:7" x14ac:dyDescent="0.25">
      <c r="A22" s="17" t="s">
        <v>507</v>
      </c>
      <c r="G22" s="26" t="s">
        <v>629</v>
      </c>
    </row>
    <row r="23" spans="1:7" x14ac:dyDescent="0.25">
      <c r="A23" s="21" t="s">
        <v>508</v>
      </c>
      <c r="G23" s="28" t="s">
        <v>630</v>
      </c>
    </row>
    <row r="24" spans="1:7" x14ac:dyDescent="0.25">
      <c r="A24" s="21" t="s">
        <v>539</v>
      </c>
      <c r="G24" s="28" t="s">
        <v>631</v>
      </c>
    </row>
    <row r="25" spans="1:7" x14ac:dyDescent="0.25">
      <c r="A25" s="17" t="s">
        <v>611</v>
      </c>
      <c r="G25" s="26" t="s">
        <v>611</v>
      </c>
    </row>
    <row r="27" spans="1:7" x14ac:dyDescent="0.25">
      <c r="A27" t="s">
        <v>538</v>
      </c>
    </row>
    <row r="28" spans="1:7" x14ac:dyDescent="0.25">
      <c r="A28" s="25" t="s">
        <v>613</v>
      </c>
      <c r="B28" s="25" t="s">
        <v>527</v>
      </c>
      <c r="C28" s="25" t="s">
        <v>528</v>
      </c>
    </row>
    <row r="29" spans="1:7" x14ac:dyDescent="0.25">
      <c r="A29" s="23" t="s">
        <v>529</v>
      </c>
      <c r="B29" s="24" t="s">
        <v>530</v>
      </c>
      <c r="C29" s="24" t="s">
        <v>531</v>
      </c>
    </row>
    <row r="30" spans="1:7" x14ac:dyDescent="0.25">
      <c r="A30" s="23" t="s">
        <v>532</v>
      </c>
      <c r="B30" s="24" t="s">
        <v>533</v>
      </c>
      <c r="C30" s="24" t="s">
        <v>531</v>
      </c>
    </row>
    <row r="31" spans="1:7" x14ac:dyDescent="0.25">
      <c r="A31" s="23" t="s">
        <v>534</v>
      </c>
      <c r="B31" s="24" t="s">
        <v>535</v>
      </c>
      <c r="C31" s="24" t="s">
        <v>536</v>
      </c>
    </row>
    <row r="32" spans="1:7" x14ac:dyDescent="0.25">
      <c r="A32" s="23" t="s">
        <v>537</v>
      </c>
      <c r="B32" s="24" t="s">
        <v>533</v>
      </c>
      <c r="C32" s="24" t="s">
        <v>536</v>
      </c>
    </row>
  </sheetData>
  <mergeCells count="1">
    <mergeCell ref="D1:E1"/>
  </mergeCells>
  <conditionalFormatting sqref="A2:B23">
    <cfRule type="expression" dxfId="30" priority="31">
      <formula>MOD(ROW(),2)=0</formula>
    </cfRule>
    <cfRule type="expression" dxfId="29" priority="32">
      <formula>MOD(ROW(),2)=1</formula>
    </cfRule>
  </conditionalFormatting>
  <conditionalFormatting sqref="A24">
    <cfRule type="expression" dxfId="28" priority="29">
      <formula>MOD(ROW(),2)=0</formula>
    </cfRule>
    <cfRule type="expression" dxfId="27" priority="30">
      <formula>MOD(ROW(),2)=1</formula>
    </cfRule>
  </conditionalFormatting>
  <conditionalFormatting sqref="B24">
    <cfRule type="expression" dxfId="26" priority="27">
      <formula>MOD(ROW(),2)=0</formula>
    </cfRule>
    <cfRule type="expression" dxfId="25" priority="28">
      <formula>MOD(ROW(),2)=1</formula>
    </cfRule>
  </conditionalFormatting>
  <conditionalFormatting sqref="A25">
    <cfRule type="expression" dxfId="24" priority="25">
      <formula>MOD(ROW(),2)=0</formula>
    </cfRule>
    <cfRule type="expression" dxfId="23" priority="26">
      <formula>MOD(ROW(),2)=1</formula>
    </cfRule>
  </conditionalFormatting>
  <conditionalFormatting sqref="B25">
    <cfRule type="expression" dxfId="22" priority="23">
      <formula>MOD(ROW(),2)=0</formula>
    </cfRule>
    <cfRule type="expression" dxfId="21" priority="24">
      <formula>MOD(ROW(),2)=1</formula>
    </cfRule>
  </conditionalFormatting>
  <conditionalFormatting sqref="D2">
    <cfRule type="expression" dxfId="20" priority="21">
      <formula>MOD(ROW(),2)=0</formula>
    </cfRule>
    <cfRule type="expression" dxfId="19" priority="22">
      <formula>MOD(ROW(),2)=1</formula>
    </cfRule>
  </conditionalFormatting>
  <conditionalFormatting sqref="E2">
    <cfRule type="expression" dxfId="18" priority="19">
      <formula>MOD(ROW(),2)=0</formula>
    </cfRule>
    <cfRule type="expression" dxfId="17" priority="20">
      <formula>MOD(ROW(),2)=1</formula>
    </cfRule>
  </conditionalFormatting>
  <conditionalFormatting sqref="E3">
    <cfRule type="expression" dxfId="16" priority="17">
      <formula>MOD(ROW(),2)=0</formula>
    </cfRule>
    <cfRule type="expression" dxfId="15" priority="18">
      <formula>MOD(ROW(),2)=1</formula>
    </cfRule>
  </conditionalFormatting>
  <conditionalFormatting sqref="D3">
    <cfRule type="expression" dxfId="14" priority="15">
      <formula>MOD(ROW(),2)=0</formula>
    </cfRule>
    <cfRule type="expression" dxfId="13" priority="16">
      <formula>MOD(ROW(),2)=1</formula>
    </cfRule>
  </conditionalFormatting>
  <conditionalFormatting sqref="G2:H23">
    <cfRule type="expression" dxfId="12" priority="13">
      <formula>MOD(ROW(),2)=0</formula>
    </cfRule>
    <cfRule type="expression" dxfId="11" priority="14">
      <formula>MOD(ROW(),2)=1</formula>
    </cfRule>
  </conditionalFormatting>
  <conditionalFormatting sqref="G24">
    <cfRule type="expression" dxfId="10" priority="11">
      <formula>MOD(ROW(),2)=0</formula>
    </cfRule>
    <cfRule type="expression" dxfId="9" priority="12">
      <formula>MOD(ROW(),2)=1</formula>
    </cfRule>
  </conditionalFormatting>
  <conditionalFormatting sqref="H24">
    <cfRule type="expression" dxfId="8" priority="9">
      <formula>MOD(ROW(),2)=0</formula>
    </cfRule>
    <cfRule type="expression" dxfId="7" priority="10">
      <formula>MOD(ROW(),2)=1</formula>
    </cfRule>
  </conditionalFormatting>
  <conditionalFormatting sqref="G25">
    <cfRule type="expression" dxfId="6" priority="7">
      <formula>MOD(ROW(),2)=0</formula>
    </cfRule>
    <cfRule type="expression" dxfId="5" priority="8">
      <formula>MOD(ROW(),2)=1</formula>
    </cfRule>
  </conditionalFormatting>
  <conditionalFormatting sqref="H25">
    <cfRule type="expression" dxfId="4" priority="5">
      <formula>MOD(ROW(),2)=0</formula>
    </cfRule>
    <cfRule type="expression" dxfId="3" priority="6">
      <formula>MOD(ROW(),2)=1</formula>
    </cfRule>
  </conditionalFormatting>
  <conditionalFormatting sqref="G1:H25">
    <cfRule type="expression" dxfId="2" priority="1">
      <formula>$E$3&lt;&gt;"Tak"</formula>
    </cfRule>
  </conditionalFormatting>
  <dataValidations count="2">
    <dataValidation type="list" allowBlank="1" showInputMessage="1" showErrorMessage="1" sqref="B14:B16 H14:H16" xr:uid="{3635C522-06C7-4D7A-92B0-E02B932B0DEA}">
      <formula1>INDIRECT(B13)</formula1>
    </dataValidation>
    <dataValidation type="list" allowBlank="1" showInputMessage="1" showErrorMessage="1" sqref="E3" xr:uid="{A21F5EC0-9FE0-4A03-8A5E-D688D9DFE4C5}">
      <formula1>INDIRECT($E$2)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32AA419-2460-4D4E-9C39-CDDBB8EF2AD0}">
          <x14:formula1>
            <xm:f>Tables!$A$1:$H$1</xm:f>
          </x14:formula1>
          <xm:sqref>B13 H13</xm:sqref>
        </x14:dataValidation>
        <x14:dataValidation type="list" allowBlank="1" showInputMessage="1" showErrorMessage="1" xr:uid="{E4879D30-35B0-45C0-AB44-7C2F44972AA0}">
          <x14:formula1>
            <xm:f>Tables!$B$117:$B$132</xm:f>
          </x14:formula1>
          <xm:sqref>B18 H18</xm:sqref>
        </x14:dataValidation>
        <x14:dataValidation type="list" allowBlank="1" showInputMessage="1" showErrorMessage="1" xr:uid="{7565438F-8EB9-4829-91F3-58D74108D4F6}">
          <x14:formula1>
            <xm:f>Tables!$J$185:$K$185</xm:f>
          </x14:formula1>
          <xm:sqref>B2 H2</xm:sqref>
        </x14:dataValidation>
        <x14:dataValidation type="list" allowBlank="1" showInputMessage="1" showErrorMessage="1" xr:uid="{A9DE6F57-A93F-4A91-8420-FEC2B422DD8A}">
          <x14:formula1>
            <xm:f>Tables!$A$138:$A$205</xm:f>
          </x14:formula1>
          <xm:sqref>B24 H24</xm:sqref>
        </x14:dataValidation>
        <x14:dataValidation type="list" allowBlank="1" showInputMessage="1" showErrorMessage="1" xr:uid="{F7B56C1B-A37C-4495-B7EE-429983779168}">
          <x14:formula1>
            <xm:f>Tables!$A$134:$B$134</xm:f>
          </x14:formula1>
          <xm:sqref>E2</xm:sqref>
        </x14:dataValidation>
        <x14:dataValidation type="list" allowBlank="1" showInputMessage="1" showErrorMessage="1" xr:uid="{93ECDAF2-D261-4D69-992C-77ECC5A504E6}">
          <x14:formula1>
            <xm:f>Tables!$Q$2:$Q$5</xm:f>
          </x14:formula1>
          <xm:sqref>B17 H17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A1B1F-D038-4073-8802-E9A35270343F}">
  <sheetPr codeName="Sheet5"/>
  <dimension ref="A1:F22"/>
  <sheetViews>
    <sheetView showGridLines="0" tabSelected="1" workbookViewId="0">
      <selection activeCell="B2" sqref="B2:F15"/>
    </sheetView>
  </sheetViews>
  <sheetFormatPr defaultColWidth="0" defaultRowHeight="15" zeroHeight="1" x14ac:dyDescent="0.25"/>
  <cols>
    <col min="1" max="1" width="49.28515625" style="4" customWidth="1"/>
    <col min="2" max="2" width="7.5703125" style="4" customWidth="1"/>
    <col min="3" max="5" width="9.140625" style="4" customWidth="1"/>
    <col min="6" max="6" width="14.28515625" style="4" customWidth="1"/>
    <col min="7" max="16384" width="9.140625" style="4" hidden="1"/>
  </cols>
  <sheetData>
    <row r="1" spans="1:6" ht="26.25" customHeight="1" thickBot="1" x14ac:dyDescent="0.3">
      <c r="A1" s="41" t="s">
        <v>812</v>
      </c>
    </row>
    <row r="2" spans="1:6" x14ac:dyDescent="0.25">
      <c r="A2" s="49" t="s">
        <v>814</v>
      </c>
      <c r="B2" s="64"/>
      <c r="C2" s="65"/>
      <c r="D2" s="65"/>
      <c r="E2" s="65"/>
      <c r="F2" s="66"/>
    </row>
    <row r="3" spans="1:6" x14ac:dyDescent="0.25">
      <c r="A3" s="50"/>
      <c r="B3" s="67"/>
      <c r="C3" s="68"/>
      <c r="D3" s="68"/>
      <c r="E3" s="68"/>
      <c r="F3" s="69"/>
    </row>
    <row r="4" spans="1:6" x14ac:dyDescent="0.25">
      <c r="A4" s="50"/>
      <c r="B4" s="67"/>
      <c r="C4" s="68"/>
      <c r="D4" s="68"/>
      <c r="E4" s="68"/>
      <c r="F4" s="69"/>
    </row>
    <row r="5" spans="1:6" x14ac:dyDescent="0.25">
      <c r="A5" s="50"/>
      <c r="B5" s="67"/>
      <c r="C5" s="68"/>
      <c r="D5" s="68"/>
      <c r="E5" s="68"/>
      <c r="F5" s="69"/>
    </row>
    <row r="6" spans="1:6" x14ac:dyDescent="0.25">
      <c r="A6" s="50"/>
      <c r="B6" s="67"/>
      <c r="C6" s="68"/>
      <c r="D6" s="68"/>
      <c r="E6" s="68"/>
      <c r="F6" s="69"/>
    </row>
    <row r="7" spans="1:6" x14ac:dyDescent="0.25">
      <c r="A7" s="50"/>
      <c r="B7" s="67"/>
      <c r="C7" s="68"/>
      <c r="D7" s="68"/>
      <c r="E7" s="68"/>
      <c r="F7" s="69"/>
    </row>
    <row r="8" spans="1:6" x14ac:dyDescent="0.25">
      <c r="A8" s="50"/>
      <c r="B8" s="67"/>
      <c r="C8" s="68"/>
      <c r="D8" s="68"/>
      <c r="E8" s="68"/>
      <c r="F8" s="69"/>
    </row>
    <row r="9" spans="1:6" x14ac:dyDescent="0.25">
      <c r="A9" s="50"/>
      <c r="B9" s="67"/>
      <c r="C9" s="68"/>
      <c r="D9" s="68"/>
      <c r="E9" s="68"/>
      <c r="F9" s="69"/>
    </row>
    <row r="10" spans="1:6" x14ac:dyDescent="0.25">
      <c r="A10" s="50"/>
      <c r="B10" s="67"/>
      <c r="C10" s="68"/>
      <c r="D10" s="68"/>
      <c r="E10" s="68"/>
      <c r="F10" s="69"/>
    </row>
    <row r="11" spans="1:6" x14ac:dyDescent="0.25">
      <c r="A11" s="50"/>
      <c r="B11" s="67"/>
      <c r="C11" s="68"/>
      <c r="D11" s="68"/>
      <c r="E11" s="68"/>
      <c r="F11" s="69"/>
    </row>
    <row r="12" spans="1:6" x14ac:dyDescent="0.25">
      <c r="A12" s="50"/>
      <c r="B12" s="67"/>
      <c r="C12" s="68"/>
      <c r="D12" s="68"/>
      <c r="E12" s="68"/>
      <c r="F12" s="69"/>
    </row>
    <row r="13" spans="1:6" x14ac:dyDescent="0.25">
      <c r="A13" s="50"/>
      <c r="B13" s="67"/>
      <c r="C13" s="68"/>
      <c r="D13" s="68"/>
      <c r="E13" s="68"/>
      <c r="F13" s="69"/>
    </row>
    <row r="14" spans="1:6" x14ac:dyDescent="0.25">
      <c r="A14" s="50"/>
      <c r="B14" s="67"/>
      <c r="C14" s="68"/>
      <c r="D14" s="68"/>
      <c r="E14" s="68"/>
      <c r="F14" s="69"/>
    </row>
    <row r="15" spans="1:6" ht="34.5" customHeight="1" thickBot="1" x14ac:dyDescent="0.3">
      <c r="A15" s="51"/>
      <c r="B15" s="70"/>
      <c r="C15" s="71"/>
      <c r="D15" s="71"/>
      <c r="E15" s="71"/>
      <c r="F15" s="72"/>
    </row>
    <row r="16" spans="1:6" ht="24" customHeight="1" thickBot="1" x14ac:dyDescent="0.3">
      <c r="A16" s="52" t="s">
        <v>811</v>
      </c>
      <c r="B16" s="53"/>
      <c r="C16" s="53"/>
      <c r="D16" s="53"/>
      <c r="E16" s="53"/>
      <c r="F16" s="54"/>
    </row>
    <row r="17" spans="1:6" x14ac:dyDescent="0.25">
      <c r="A17" s="55"/>
      <c r="B17" s="56"/>
      <c r="C17" s="56"/>
      <c r="D17" s="56"/>
      <c r="E17" s="56"/>
      <c r="F17" s="57"/>
    </row>
    <row r="18" spans="1:6" x14ac:dyDescent="0.25">
      <c r="A18" s="58"/>
      <c r="B18" s="59"/>
      <c r="C18" s="59"/>
      <c r="D18" s="59"/>
      <c r="E18" s="59"/>
      <c r="F18" s="60"/>
    </row>
    <row r="19" spans="1:6" x14ac:dyDescent="0.25">
      <c r="A19" s="58"/>
      <c r="B19" s="59"/>
      <c r="C19" s="59"/>
      <c r="D19" s="59"/>
      <c r="E19" s="59"/>
      <c r="F19" s="60"/>
    </row>
    <row r="20" spans="1:6" x14ac:dyDescent="0.25">
      <c r="A20" s="58"/>
      <c r="B20" s="59"/>
      <c r="C20" s="59"/>
      <c r="D20" s="59"/>
      <c r="E20" s="59"/>
      <c r="F20" s="60"/>
    </row>
    <row r="21" spans="1:6" x14ac:dyDescent="0.25">
      <c r="A21" s="58"/>
      <c r="B21" s="59"/>
      <c r="C21" s="59"/>
      <c r="D21" s="59"/>
      <c r="E21" s="59"/>
      <c r="F21" s="60"/>
    </row>
    <row r="22" spans="1:6" ht="15.75" thickBot="1" x14ac:dyDescent="0.3">
      <c r="A22" s="61"/>
      <c r="B22" s="62"/>
      <c r="C22" s="62"/>
      <c r="D22" s="62"/>
      <c r="E22" s="62"/>
      <c r="F22" s="63"/>
    </row>
  </sheetData>
  <mergeCells count="4">
    <mergeCell ref="A2:A15"/>
    <mergeCell ref="A16:F16"/>
    <mergeCell ref="A17:F22"/>
    <mergeCell ref="B2:F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NOWYSOLDTO">
          <controlPr defaultSize="0" autoLine="0" r:id="rId5">
            <anchor moveWithCells="1">
              <from>
                <xdr:col>1</xdr:col>
                <xdr:colOff>438150</xdr:colOff>
                <xdr:row>2</xdr:row>
                <xdr:rowOff>66675</xdr:rowOff>
              </from>
              <to>
                <xdr:col>5</xdr:col>
                <xdr:colOff>581025</xdr:colOff>
                <xdr:row>7</xdr:row>
                <xdr:rowOff>104775</xdr:rowOff>
              </to>
            </anchor>
          </controlPr>
        </control>
      </mc:Choice>
      <mc:Fallback>
        <control shapeId="5121" r:id="rId4" name="NOWYSOLDTO"/>
      </mc:Fallback>
    </mc:AlternateContent>
    <mc:AlternateContent xmlns:mc="http://schemas.openxmlformats.org/markup-compatibility/2006">
      <mc:Choice Requires="x14">
        <control shapeId="5123" r:id="rId6" name="NOWYPAYER">
          <controlPr defaultSize="0" autoLine="0" r:id="rId7">
            <anchor moveWithCells="1">
              <from>
                <xdr:col>1</xdr:col>
                <xdr:colOff>438150</xdr:colOff>
                <xdr:row>9</xdr:row>
                <xdr:rowOff>57150</xdr:rowOff>
              </from>
              <to>
                <xdr:col>5</xdr:col>
                <xdr:colOff>581025</xdr:colOff>
                <xdr:row>14</xdr:row>
                <xdr:rowOff>95250</xdr:rowOff>
              </to>
            </anchor>
          </controlPr>
        </control>
      </mc:Choice>
      <mc:Fallback>
        <control shapeId="5123" r:id="rId6" name="NOWYPAYE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2CE9D-8465-4A5D-B670-3CA2CD2EFE7E}">
  <sheetPr codeName="Sheet4"/>
  <dimension ref="A1:N32"/>
  <sheetViews>
    <sheetView showGridLines="0" topLeftCell="C1" workbookViewId="0">
      <selection activeCell="K15" sqref="K15"/>
    </sheetView>
  </sheetViews>
  <sheetFormatPr defaultColWidth="0" defaultRowHeight="18" customHeight="1" zeroHeight="1" x14ac:dyDescent="0.25"/>
  <cols>
    <col min="1" max="1" width="22.28515625" hidden="1" customWidth="1"/>
    <col min="2" max="2" width="9.140625" hidden="1" customWidth="1"/>
    <col min="3" max="4" width="9.140625" customWidth="1"/>
    <col min="5" max="6" width="0" hidden="1" customWidth="1"/>
    <col min="7" max="7" width="9.140625" customWidth="1"/>
    <col min="8" max="8" width="11.28515625" customWidth="1"/>
    <col min="9" max="9" width="36.5703125" bestFit="1" customWidth="1"/>
    <col min="10" max="10" width="49.42578125" bestFit="1" customWidth="1"/>
    <col min="11" max="11" width="9.140625" customWidth="1"/>
    <col min="12" max="12" width="32.42578125" bestFit="1" customWidth="1"/>
    <col min="13" max="13" width="49.42578125" bestFit="1" customWidth="1"/>
    <col min="14" max="14" width="9.140625" customWidth="1"/>
    <col min="15" max="16384" width="9.140625" hidden="1"/>
  </cols>
  <sheetData>
    <row r="1" spans="3:14" ht="33" customHeight="1" x14ac:dyDescent="0.25">
      <c r="C1" s="42"/>
      <c r="D1" s="42"/>
      <c r="E1" s="42"/>
      <c r="F1" s="42"/>
      <c r="G1" s="42"/>
      <c r="H1" s="42"/>
      <c r="I1" s="73" t="s">
        <v>509</v>
      </c>
      <c r="J1" s="73"/>
      <c r="K1" s="42"/>
      <c r="L1" s="77" t="s">
        <v>498</v>
      </c>
      <c r="M1" s="77"/>
      <c r="N1" s="42"/>
    </row>
    <row r="2" spans="3:14" ht="22.5" customHeight="1" x14ac:dyDescent="0.3">
      <c r="C2" s="42"/>
      <c r="D2" s="42"/>
      <c r="E2" s="42"/>
      <c r="F2" s="42"/>
      <c r="G2" s="42"/>
      <c r="H2" s="43"/>
      <c r="I2" s="33" t="s">
        <v>790</v>
      </c>
      <c r="J2" s="38"/>
      <c r="K2" s="42"/>
      <c r="L2" s="33" t="s">
        <v>792</v>
      </c>
      <c r="M2" s="39" t="str">
        <f>UPPER(B1)</f>
        <v/>
      </c>
      <c r="N2" s="42"/>
    </row>
    <row r="3" spans="3:14" ht="22.5" customHeight="1" x14ac:dyDescent="0.3">
      <c r="C3" s="42"/>
      <c r="D3" s="42"/>
      <c r="E3" s="42"/>
      <c r="F3" s="42"/>
      <c r="G3" s="42"/>
      <c r="H3" s="43"/>
      <c r="I3" s="33" t="s">
        <v>791</v>
      </c>
      <c r="J3" s="39" t="str">
        <f>UPPER(A22)</f>
        <v/>
      </c>
      <c r="K3" s="42"/>
      <c r="L3" s="33" t="s">
        <v>793</v>
      </c>
      <c r="M3" s="39" t="str">
        <f>UPPER(B2)</f>
        <v/>
      </c>
      <c r="N3" s="42"/>
    </row>
    <row r="4" spans="3:14" ht="22.5" customHeight="1" x14ac:dyDescent="0.3">
      <c r="C4" s="42"/>
      <c r="D4" s="42"/>
      <c r="E4" s="42"/>
      <c r="F4" s="42"/>
      <c r="G4" s="42"/>
      <c r="H4" s="43"/>
      <c r="I4" s="33" t="s">
        <v>792</v>
      </c>
      <c r="J4" s="39" t="str">
        <f>UPPER(A1)</f>
        <v/>
      </c>
      <c r="K4" s="42"/>
      <c r="L4" s="33" t="s">
        <v>794</v>
      </c>
      <c r="M4" s="39" t="str">
        <f>UPPER(B3)</f>
        <v/>
      </c>
      <c r="N4" s="42"/>
    </row>
    <row r="5" spans="3:14" ht="22.5" customHeight="1" x14ac:dyDescent="0.3">
      <c r="C5" s="42"/>
      <c r="D5" s="42"/>
      <c r="E5" s="42"/>
      <c r="F5" s="42"/>
      <c r="G5" s="42"/>
      <c r="H5" s="43"/>
      <c r="I5" s="33" t="s">
        <v>793</v>
      </c>
      <c r="J5" s="39" t="str">
        <f t="shared" ref="J5:J8" si="0">UPPER(A2)</f>
        <v/>
      </c>
      <c r="K5" s="42"/>
      <c r="L5" s="33" t="s">
        <v>795</v>
      </c>
      <c r="M5" s="39" t="str">
        <f>UPPER(B4)</f>
        <v/>
      </c>
      <c r="N5" s="42"/>
    </row>
    <row r="6" spans="3:14" ht="22.5" customHeight="1" x14ac:dyDescent="0.3">
      <c r="C6" s="42"/>
      <c r="D6" s="42"/>
      <c r="E6" s="42"/>
      <c r="F6" s="42"/>
      <c r="G6" s="42"/>
      <c r="H6" s="43"/>
      <c r="I6" s="33" t="s">
        <v>794</v>
      </c>
      <c r="J6" s="39" t="str">
        <f t="shared" si="0"/>
        <v/>
      </c>
      <c r="K6" s="42"/>
      <c r="L6" s="33" t="s">
        <v>796</v>
      </c>
      <c r="M6" s="39" t="str">
        <f>UPPER(B5)</f>
        <v/>
      </c>
      <c r="N6" s="42"/>
    </row>
    <row r="7" spans="3:14" ht="22.5" customHeight="1" x14ac:dyDescent="0.3">
      <c r="C7" s="42"/>
      <c r="D7" s="42"/>
      <c r="E7" s="42"/>
      <c r="F7" s="42"/>
      <c r="G7" s="42"/>
      <c r="H7" s="43"/>
      <c r="I7" s="33" t="s">
        <v>795</v>
      </c>
      <c r="J7" s="39" t="str">
        <f t="shared" si="0"/>
        <v/>
      </c>
      <c r="K7" s="42"/>
      <c r="L7" s="33" t="s">
        <v>813</v>
      </c>
      <c r="M7" s="39" t="str">
        <f>IFERROR(VLOOKUP(B6,tableWoj[#All],2,0),"")</f>
        <v/>
      </c>
      <c r="N7" s="42"/>
    </row>
    <row r="8" spans="3:14" ht="22.5" customHeight="1" x14ac:dyDescent="0.3">
      <c r="C8" s="42"/>
      <c r="D8" s="42"/>
      <c r="E8" s="42"/>
      <c r="F8" s="42"/>
      <c r="G8" s="42"/>
      <c r="H8" s="43"/>
      <c r="I8" s="33" t="s">
        <v>796</v>
      </c>
      <c r="J8" s="39" t="str">
        <f t="shared" si="0"/>
        <v/>
      </c>
      <c r="K8" s="42"/>
      <c r="L8" s="33" t="s">
        <v>797</v>
      </c>
      <c r="M8" s="39" t="str">
        <f>UPPER(B7)</f>
        <v/>
      </c>
      <c r="N8" s="42"/>
    </row>
    <row r="9" spans="3:14" ht="22.5" customHeight="1" x14ac:dyDescent="0.3">
      <c r="C9" s="42"/>
      <c r="D9" s="42"/>
      <c r="E9" s="42"/>
      <c r="F9" s="42"/>
      <c r="G9" s="42"/>
      <c r="H9" s="43"/>
      <c r="I9" s="33" t="s">
        <v>813</v>
      </c>
      <c r="J9" s="39" t="str">
        <f>IFERROR(VLOOKUP(A6,tableWoj[#All],2,0),"")</f>
        <v/>
      </c>
      <c r="K9" s="42"/>
      <c r="L9" s="33" t="s">
        <v>798</v>
      </c>
      <c r="M9" s="39" t="str">
        <f>UPPER(B8)</f>
        <v/>
      </c>
      <c r="N9" s="42"/>
    </row>
    <row r="10" spans="3:14" ht="22.5" customHeight="1" x14ac:dyDescent="0.3">
      <c r="C10" s="42"/>
      <c r="D10" s="42"/>
      <c r="E10" s="42"/>
      <c r="F10" s="42"/>
      <c r="G10" s="42"/>
      <c r="H10" s="43"/>
      <c r="I10" s="33" t="s">
        <v>797</v>
      </c>
      <c r="J10" s="39" t="str">
        <f>UPPER(A7)</f>
        <v/>
      </c>
      <c r="K10" s="42"/>
      <c r="L10" s="33" t="s">
        <v>799</v>
      </c>
      <c r="M10" s="39" t="str">
        <f>UPPER(B9)</f>
        <v/>
      </c>
      <c r="N10" s="42"/>
    </row>
    <row r="11" spans="3:14" ht="22.5" customHeight="1" x14ac:dyDescent="0.3">
      <c r="C11" s="42"/>
      <c r="D11" s="42"/>
      <c r="E11" s="42"/>
      <c r="F11" s="42"/>
      <c r="G11" s="42"/>
      <c r="H11" s="43"/>
      <c r="I11" s="33" t="s">
        <v>798</v>
      </c>
      <c r="J11" s="39" t="str">
        <f>UPPER(A8)</f>
        <v/>
      </c>
      <c r="K11" s="42"/>
      <c r="L11" s="33" t="s">
        <v>770</v>
      </c>
      <c r="M11" s="39" t="str">
        <f>UPPER(B10)</f>
        <v/>
      </c>
      <c r="N11" s="42"/>
    </row>
    <row r="12" spans="3:14" ht="22.5" customHeight="1" x14ac:dyDescent="0.3">
      <c r="C12" s="42"/>
      <c r="D12" s="42"/>
      <c r="E12" s="42"/>
      <c r="F12" s="42"/>
      <c r="G12" s="42"/>
      <c r="H12" s="43"/>
      <c r="I12" s="33" t="s">
        <v>799</v>
      </c>
      <c r="J12" s="39" t="str">
        <f>UPPER(A9)</f>
        <v/>
      </c>
      <c r="K12" s="42"/>
      <c r="L12" s="33" t="s">
        <v>771</v>
      </c>
      <c r="M12" s="39" t="str">
        <f>UPPER(B11)</f>
        <v/>
      </c>
      <c r="N12" s="42"/>
    </row>
    <row r="13" spans="3:14" ht="22.5" customHeight="1" x14ac:dyDescent="0.3">
      <c r="C13" s="42"/>
      <c r="D13" s="42"/>
      <c r="E13" s="42"/>
      <c r="F13" s="42"/>
      <c r="G13" s="42"/>
      <c r="H13" s="43"/>
      <c r="I13" s="33" t="s">
        <v>770</v>
      </c>
      <c r="J13" s="39" t="str">
        <f t="shared" ref="J13:J14" si="1">UPPER(A10)</f>
        <v/>
      </c>
      <c r="K13" s="42"/>
      <c r="L13" s="33" t="s">
        <v>800</v>
      </c>
      <c r="M13" s="39" t="str">
        <f>LEFT(B12,4)</f>
        <v/>
      </c>
      <c r="N13" s="42"/>
    </row>
    <row r="14" spans="3:14" ht="22.5" customHeight="1" x14ac:dyDescent="0.3">
      <c r="C14" s="42"/>
      <c r="D14" s="42"/>
      <c r="E14" s="42"/>
      <c r="F14" s="42"/>
      <c r="G14" s="42"/>
      <c r="H14" s="43"/>
      <c r="I14" s="33" t="s">
        <v>771</v>
      </c>
      <c r="J14" s="39" t="str">
        <f t="shared" si="1"/>
        <v/>
      </c>
      <c r="K14" s="42"/>
      <c r="L14" s="33" t="s">
        <v>801</v>
      </c>
      <c r="M14" s="39" t="str">
        <f>IFERROR(SUBSTITUTE(RIGHT(B13, LEN(B13) - 4),"_"," "),"")</f>
        <v/>
      </c>
      <c r="N14" s="42"/>
    </row>
    <row r="15" spans="3:14" ht="22.5" customHeight="1" x14ac:dyDescent="0.3">
      <c r="C15" s="42"/>
      <c r="D15" s="42"/>
      <c r="E15" s="42"/>
      <c r="F15" s="42"/>
      <c r="G15" s="42"/>
      <c r="H15" s="43"/>
      <c r="I15" s="33" t="s">
        <v>800</v>
      </c>
      <c r="J15" s="39" t="str">
        <f>LEFT(A12,4)</f>
        <v/>
      </c>
      <c r="K15" s="42"/>
      <c r="L15" s="33" t="s">
        <v>802</v>
      </c>
      <c r="M15" s="39" t="str">
        <f t="shared" ref="M15:M17" si="2">IFERROR(SUBSTITUTE(RIGHT(B14, LEN(B14) - 4),"_"," "),"")</f>
        <v/>
      </c>
      <c r="N15" s="42"/>
    </row>
    <row r="16" spans="3:14" ht="22.5" customHeight="1" x14ac:dyDescent="0.3">
      <c r="C16" s="42"/>
      <c r="D16" s="42"/>
      <c r="E16" s="42"/>
      <c r="F16" s="42"/>
      <c r="G16" s="42"/>
      <c r="H16" s="43"/>
      <c r="I16" s="33" t="s">
        <v>801</v>
      </c>
      <c r="J16" s="39" t="str">
        <f>IFERROR(SUBSTITUTE(RIGHT(A13, LEN(A13) - 4),"_"," "),"")</f>
        <v/>
      </c>
      <c r="K16" s="42"/>
      <c r="L16" s="33" t="s">
        <v>803</v>
      </c>
      <c r="M16" s="39" t="str">
        <f t="shared" si="2"/>
        <v/>
      </c>
      <c r="N16" s="42"/>
    </row>
    <row r="17" spans="3:14" ht="22.5" customHeight="1" x14ac:dyDescent="0.3">
      <c r="C17" s="42"/>
      <c r="D17" s="42"/>
      <c r="E17" s="42"/>
      <c r="F17" s="42"/>
      <c r="G17" s="42"/>
      <c r="H17" s="43"/>
      <c r="I17" s="33" t="s">
        <v>802</v>
      </c>
      <c r="J17" s="39" t="str">
        <f t="shared" ref="J17:J19" si="3">IFERROR(SUBSTITUTE(RIGHT(A14, LEN(A14) - 4),"_"," "),"")</f>
        <v/>
      </c>
      <c r="K17" s="42"/>
      <c r="L17" s="33" t="s">
        <v>804</v>
      </c>
      <c r="M17" s="39" t="str">
        <f t="shared" si="2"/>
        <v/>
      </c>
      <c r="N17" s="42"/>
    </row>
    <row r="18" spans="3:14" ht="22.5" customHeight="1" x14ac:dyDescent="0.3">
      <c r="C18" s="42"/>
      <c r="D18" s="42"/>
      <c r="E18" s="42"/>
      <c r="F18" s="42"/>
      <c r="G18" s="42"/>
      <c r="H18" s="43"/>
      <c r="I18" s="33" t="s">
        <v>803</v>
      </c>
      <c r="J18" s="39" t="str">
        <f t="shared" si="3"/>
        <v/>
      </c>
      <c r="K18" s="42"/>
      <c r="L18" s="42"/>
      <c r="M18" s="42"/>
      <c r="N18" s="42"/>
    </row>
    <row r="19" spans="3:14" ht="22.5" customHeight="1" x14ac:dyDescent="0.3">
      <c r="C19" s="42"/>
      <c r="D19" s="42"/>
      <c r="E19" s="42"/>
      <c r="F19" s="42"/>
      <c r="G19" s="42"/>
      <c r="H19" s="43"/>
      <c r="I19" s="33" t="s">
        <v>804</v>
      </c>
      <c r="J19" s="39" t="str">
        <f t="shared" si="3"/>
        <v/>
      </c>
      <c r="K19" s="42"/>
      <c r="L19" s="42"/>
      <c r="M19" s="42"/>
      <c r="N19" s="42"/>
    </row>
    <row r="20" spans="3:14" ht="22.5" customHeight="1" thickBot="1" x14ac:dyDescent="0.35">
      <c r="C20" s="42"/>
      <c r="D20" s="42"/>
      <c r="E20" s="42"/>
      <c r="F20" s="42"/>
      <c r="G20" s="42"/>
      <c r="H20" s="44"/>
      <c r="I20" s="34" t="s">
        <v>473</v>
      </c>
      <c r="J20" s="40" t="str">
        <f>LEFT(A17,2)</f>
        <v/>
      </c>
      <c r="K20" s="42"/>
      <c r="L20" s="42"/>
      <c r="M20" s="42"/>
      <c r="N20" s="42"/>
    </row>
    <row r="21" spans="3:14" ht="22.5" customHeight="1" x14ac:dyDescent="0.3">
      <c r="C21" s="42"/>
      <c r="D21" s="42"/>
      <c r="E21" s="42"/>
      <c r="F21" s="42"/>
      <c r="G21" s="42"/>
      <c r="H21" s="74" t="s">
        <v>772</v>
      </c>
      <c r="I21" s="36" t="s">
        <v>805</v>
      </c>
      <c r="J21" s="39" t="str">
        <f t="shared" ref="J21:J25" si="4">UPPER(A19)</f>
        <v/>
      </c>
      <c r="K21" s="42"/>
      <c r="L21" s="42"/>
      <c r="M21" s="42"/>
      <c r="N21" s="42"/>
    </row>
    <row r="22" spans="3:14" ht="22.5" customHeight="1" x14ac:dyDescent="0.3">
      <c r="C22" s="42"/>
      <c r="D22" s="42"/>
      <c r="E22" s="42"/>
      <c r="F22" s="42"/>
      <c r="G22" s="42"/>
      <c r="H22" s="75"/>
      <c r="I22" s="33" t="s">
        <v>806</v>
      </c>
      <c r="J22" s="39" t="str">
        <f t="shared" si="4"/>
        <v/>
      </c>
      <c r="K22" s="42"/>
      <c r="L22" s="42"/>
      <c r="M22" s="42"/>
      <c r="N22" s="42"/>
    </row>
    <row r="23" spans="3:14" ht="22.5" customHeight="1" x14ac:dyDescent="0.3">
      <c r="C23" s="42"/>
      <c r="D23" s="42"/>
      <c r="E23" s="42"/>
      <c r="F23" s="42"/>
      <c r="G23" s="42"/>
      <c r="H23" s="75"/>
      <c r="I23" s="33" t="s">
        <v>807</v>
      </c>
      <c r="J23" s="39" t="str">
        <f t="shared" si="4"/>
        <v/>
      </c>
      <c r="K23" s="42"/>
      <c r="L23" s="42"/>
      <c r="M23" s="42"/>
      <c r="N23" s="42"/>
    </row>
    <row r="24" spans="3:14" ht="22.5" customHeight="1" thickBot="1" x14ac:dyDescent="0.35">
      <c r="C24" s="42"/>
      <c r="D24" s="42"/>
      <c r="E24" s="42"/>
      <c r="F24" s="42"/>
      <c r="G24" s="42"/>
      <c r="H24" s="76"/>
      <c r="I24" s="37" t="s">
        <v>808</v>
      </c>
      <c r="J24" s="39" t="str">
        <f t="shared" si="4"/>
        <v/>
      </c>
      <c r="K24" s="42"/>
      <c r="L24" s="42"/>
      <c r="M24" s="42"/>
      <c r="N24" s="42"/>
    </row>
    <row r="25" spans="3:14" ht="22.5" customHeight="1" x14ac:dyDescent="0.3">
      <c r="C25" s="42"/>
      <c r="D25" s="42"/>
      <c r="E25" s="42"/>
      <c r="F25" s="42"/>
      <c r="G25" s="42"/>
      <c r="H25" s="43"/>
      <c r="I25" s="35" t="s">
        <v>809</v>
      </c>
      <c r="J25" s="39" t="str">
        <f t="shared" si="4"/>
        <v/>
      </c>
      <c r="K25" s="42"/>
      <c r="L25" s="42"/>
      <c r="M25" s="42"/>
      <c r="N25" s="42"/>
    </row>
    <row r="26" spans="3:14" ht="22.5" customHeight="1" x14ac:dyDescent="0.3">
      <c r="C26" s="42"/>
      <c r="D26" s="42"/>
      <c r="E26" s="42"/>
      <c r="F26" s="42"/>
      <c r="G26" s="42"/>
      <c r="H26" s="43"/>
      <c r="I26" s="33" t="s">
        <v>810</v>
      </c>
      <c r="J26" s="39" t="str">
        <f>UPPER(A24)</f>
        <v/>
      </c>
      <c r="K26" s="42"/>
      <c r="L26" s="42"/>
      <c r="M26" s="42"/>
      <c r="N26" s="42"/>
    </row>
    <row r="27" spans="3:14" ht="18" customHeight="1" x14ac:dyDescent="0.25">
      <c r="C27" s="42"/>
      <c r="D27" s="42"/>
      <c r="E27" s="42"/>
      <c r="F27" s="42"/>
      <c r="G27" s="42"/>
      <c r="H27" s="42"/>
      <c r="I27" s="42"/>
      <c r="J27" s="45"/>
      <c r="K27" s="42"/>
      <c r="L27" s="42"/>
      <c r="M27" s="42"/>
      <c r="N27" s="42"/>
    </row>
    <row r="28" spans="3:14" ht="18" customHeight="1" x14ac:dyDescent="0.25"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</row>
    <row r="29" spans="3:14" ht="18" customHeight="1" x14ac:dyDescent="0.25"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</row>
    <row r="30" spans="3:14" ht="18" customHeight="1" x14ac:dyDescent="0.25"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</row>
    <row r="31" spans="3:14" ht="18" customHeight="1" x14ac:dyDescent="0.25"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</row>
    <row r="32" spans="3:14" ht="18" customHeight="1" x14ac:dyDescent="0.25"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</row>
  </sheetData>
  <mergeCells count="3">
    <mergeCell ref="I1:J1"/>
    <mergeCell ref="H21:H24"/>
    <mergeCell ref="L1:M1"/>
  </mergeCells>
  <phoneticPr fontId="22" type="noConversion"/>
  <conditionalFormatting sqref="I2:J26">
    <cfRule type="expression" dxfId="1" priority="2">
      <formula>MOD(ROW(),2)=1</formula>
    </cfRule>
  </conditionalFormatting>
  <conditionalFormatting sqref="L2:M17">
    <cfRule type="expression" dxfId="0" priority="1">
      <formula>MOD(ROW(),2)=1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140</vt:i4>
      </vt:variant>
    </vt:vector>
  </HeadingPairs>
  <TitlesOfParts>
    <vt:vector size="145" baseType="lpstr">
      <vt:lpstr>Ordered_data</vt:lpstr>
      <vt:lpstr>Tables</vt:lpstr>
      <vt:lpstr>User_form</vt:lpstr>
      <vt:lpstr>UserForm</vt:lpstr>
      <vt:lpstr>Cleansed_data</vt:lpstr>
      <vt:lpstr>Tak</vt:lpstr>
      <vt:lpstr>Z01_ACCESS</vt:lpstr>
      <vt:lpstr>Z01_AWAY_FROM_HOME</vt:lpstr>
      <vt:lpstr>Z01_CONVENIENCE_GAS</vt:lpstr>
      <vt:lpstr>Z02_BUFFET</vt:lpstr>
      <vt:lpstr>Z02_DISTRIBUTOR</vt:lpstr>
      <vt:lpstr>Z02_FOBO</vt:lpstr>
      <vt:lpstr>Z03_BAR</vt:lpstr>
      <vt:lpstr>Z03_LARGE_FORMAT</vt:lpstr>
      <vt:lpstr>Z03_RECREATION_RETAIL</vt:lpstr>
      <vt:lpstr>Z04_CINEMA</vt:lpstr>
      <vt:lpstr>Z04_COMAN</vt:lpstr>
      <vt:lpstr>Z04_OTHER</vt:lpstr>
      <vt:lpstr>Z05_COBO</vt:lpstr>
      <vt:lpstr>Z05_CONVENIENCE_GAS_DIST</vt:lpstr>
      <vt:lpstr>Z05_SMALL_FORMAT</vt:lpstr>
      <vt:lpstr>Z06_CASH_CARRY</vt:lpstr>
      <vt:lpstr>Z06_COMAN</vt:lpstr>
      <vt:lpstr>Z06_WHOLESALE</vt:lpstr>
      <vt:lpstr>Z07_CAFETERIA</vt:lpstr>
      <vt:lpstr>Z07_CONCIERGE</vt:lpstr>
      <vt:lpstr>Z07_E_COMMERCE</vt:lpstr>
      <vt:lpstr>Z08_CASH_CARRY</vt:lpstr>
      <vt:lpstr>Z08_SMALL_DISCOUNTER</vt:lpstr>
      <vt:lpstr>Z08_TRADITIONAL_TRADE</vt:lpstr>
      <vt:lpstr>Z09_COBO</vt:lpstr>
      <vt:lpstr>Z0A_TT_GOODS_SERVICES</vt:lpstr>
      <vt:lpstr>Z0C_CHAIN_CONV_GAS</vt:lpstr>
      <vt:lpstr>Z0D_LOCAL_CONV_GAS</vt:lpstr>
      <vt:lpstr>Z0E_IBS_LOCAL_CONV_GAS</vt:lpstr>
      <vt:lpstr>Z0G_OMNI_AFH</vt:lpstr>
      <vt:lpstr>Z0H_OMNI_GROCERY_MASS</vt:lpstr>
      <vt:lpstr>Z0I_OMNI_CONV</vt:lpstr>
      <vt:lpstr>Z10_DRUG_PHARMACY</vt:lpstr>
      <vt:lpstr>Z11_CONVENTIONAL</vt:lpstr>
      <vt:lpstr>Z11_DEPT_STORE</vt:lpstr>
      <vt:lpstr>Z12_CONV_GAS_DIST</vt:lpstr>
      <vt:lpstr>Z12_DELI</vt:lpstr>
      <vt:lpstr>Z13_EXPORT</vt:lpstr>
      <vt:lpstr>Z14_DIRECT_VENDING</vt:lpstr>
      <vt:lpstr>Z14_EMPLOYEE_SALES</vt:lpstr>
      <vt:lpstr>Z15_DOMESTIC</vt:lpstr>
      <vt:lpstr>Z15_FREEZER_STORE</vt:lpstr>
      <vt:lpstr>Z16_DRUG_PHARMACY</vt:lpstr>
      <vt:lpstr>Z16_GROCERY</vt:lpstr>
      <vt:lpstr>Z17_DEPT_STORE</vt:lpstr>
      <vt:lpstr>Z17_GROCERY_DIST</vt:lpstr>
      <vt:lpstr>Z18_DELI</vt:lpstr>
      <vt:lpstr>Z18_INTERCO</vt:lpstr>
      <vt:lpstr>Z19_DAIRY</vt:lpstr>
      <vt:lpstr>Z19_HYPER_SUPER_CENTER</vt:lpstr>
      <vt:lpstr>Z20_EDUCATION</vt:lpstr>
      <vt:lpstr>Z20_MILITARY_GOVT</vt:lpstr>
      <vt:lpstr>Z21_EXPORT</vt:lpstr>
      <vt:lpstr>Z21_MULTIFORMAT</vt:lpstr>
      <vt:lpstr>Z22_EMPLOYEE_SALES</vt:lpstr>
      <vt:lpstr>Z22_MULTIFORMAT_DIST</vt:lpstr>
      <vt:lpstr>Z23_FOBO</vt:lpstr>
      <vt:lpstr>Z23_NATURAL_DIST</vt:lpstr>
      <vt:lpstr>Z24_FOOD_SERVICE_DIST</vt:lpstr>
      <vt:lpstr>Z24_RESTAURANT</vt:lpstr>
      <vt:lpstr>Z25_FSR_FULL_SERV_REST</vt:lpstr>
      <vt:lpstr>Z25_SPECIALTY_DIST</vt:lpstr>
      <vt:lpstr>Z26_FREEZER_STORE</vt:lpstr>
      <vt:lpstr>Z26_SF_GROCERY</vt:lpstr>
      <vt:lpstr>Z27_IBS</vt:lpstr>
      <vt:lpstr>Z28_GOVT</vt:lpstr>
      <vt:lpstr>Z28_VENDING</vt:lpstr>
      <vt:lpstr>Z29_GOODS_SERVICES</vt:lpstr>
      <vt:lpstr>Z29_WORKPLACE</vt:lpstr>
      <vt:lpstr>Z30_GROCERY</vt:lpstr>
      <vt:lpstr>Z30_WHOLESALE_CLUB</vt:lpstr>
      <vt:lpstr>Z31_GROCERY_DIST</vt:lpstr>
      <vt:lpstr>Z31_WHOLESALE_CONV</vt:lpstr>
      <vt:lpstr>Z32_FOOD_SERVICE_DIST</vt:lpstr>
      <vt:lpstr>Z33_SMALL_RETAIL_CLUB</vt:lpstr>
      <vt:lpstr>Z34_HOTEL</vt:lpstr>
      <vt:lpstr>Z34_MISC_SALES</vt:lpstr>
      <vt:lpstr>Z35_INDUSTRIAL</vt:lpstr>
      <vt:lpstr>Z36_INSTITUTION</vt:lpstr>
      <vt:lpstr>Z36_LARGE_DISCOUNTER</vt:lpstr>
      <vt:lpstr>Z37_DTC</vt:lpstr>
      <vt:lpstr>Z37_INDIRECT_VENDING</vt:lpstr>
      <vt:lpstr>Z38_KIOSK</vt:lpstr>
      <vt:lpstr>Z38_PURE_PLAY</vt:lpstr>
      <vt:lpstr>Z39_LSR_LTD_SERV_REST</vt:lpstr>
      <vt:lpstr>Z40_MASS_MERCHANDISER</vt:lpstr>
      <vt:lpstr>Z40_OMNI</vt:lpstr>
      <vt:lpstr>Z41_MULTIFORMAT</vt:lpstr>
      <vt:lpstr>Z42_MILITARY_GOVT</vt:lpstr>
      <vt:lpstr>Z43_MINI_MARKET</vt:lpstr>
      <vt:lpstr>Z44_MULTIFORMAT_DIST</vt:lpstr>
      <vt:lpstr>Z44_TT_CONV_GAS</vt:lpstr>
      <vt:lpstr>Z45_NATURAL_DIST</vt:lpstr>
      <vt:lpstr>Z45_TT_DRUG_PHARMACY</vt:lpstr>
      <vt:lpstr>Z46_OCCUPATIONAL</vt:lpstr>
      <vt:lpstr>Z46_TT_GROCERY</vt:lpstr>
      <vt:lpstr>Z47_PIZZERIA</vt:lpstr>
      <vt:lpstr>Z47_TT_IBS</vt:lpstr>
      <vt:lpstr>Z48_RETAIL_MILITARY</vt:lpstr>
      <vt:lpstr>Z49_RECREATION_RETAIL</vt:lpstr>
      <vt:lpstr>Z50_RETAIL_CLUB</vt:lpstr>
      <vt:lpstr>Z51_QSR_LTD_SERV_REST</vt:lpstr>
      <vt:lpstr>Z53_SUPERCENTER</vt:lpstr>
      <vt:lpstr>Z54_SPORTS_ENTERTAINMENT</vt:lpstr>
      <vt:lpstr>Z55_SPECIAL_EVENTS</vt:lpstr>
      <vt:lpstr>Z56_SPECIALTY</vt:lpstr>
      <vt:lpstr>Z57_SPECIALTY_DIST</vt:lpstr>
      <vt:lpstr>Z58_SMALL_GROCERY</vt:lpstr>
      <vt:lpstr>Z59_TRANSPORT_TRAVEL</vt:lpstr>
      <vt:lpstr>Z60_VALUE_PRICED</vt:lpstr>
      <vt:lpstr>Z61_TRAVEL_SERVICES</vt:lpstr>
      <vt:lpstr>Z62_TT_GROCERY</vt:lpstr>
      <vt:lpstr>Z63_VENDING</vt:lpstr>
      <vt:lpstr>Z64_3RD_P_SERV_OP</vt:lpstr>
      <vt:lpstr>Z65_IBS_DRUG_PHARMACY</vt:lpstr>
      <vt:lpstr>Z66_SMALL_RETAIL_CLUB</vt:lpstr>
      <vt:lpstr>Z67_WORKPLACE_VENDING</vt:lpstr>
      <vt:lpstr>Z69_MISC_SALES</vt:lpstr>
      <vt:lpstr>Z70_PURE_PLAY</vt:lpstr>
      <vt:lpstr>Z71_MILITARY_GOVT_DIST</vt:lpstr>
      <vt:lpstr>Z73_INTERCO_EXPORT</vt:lpstr>
      <vt:lpstr>Z74_CONCIERGE_GROCERY</vt:lpstr>
      <vt:lpstr>Z75_CONCIERGE_AFH</vt:lpstr>
      <vt:lpstr>Z76_SOCIAL_COMMERCE</vt:lpstr>
      <vt:lpstr>Z79_TT_WHOLESALER</vt:lpstr>
      <vt:lpstr>Z81_GAMING_CASINO</vt:lpstr>
      <vt:lpstr>Z85_TT_CONV_GAS</vt:lpstr>
      <vt:lpstr>Z86_TT_DRUG_PHARMACY</vt:lpstr>
      <vt:lpstr>Z87_TT_SPECIALTY</vt:lpstr>
      <vt:lpstr>Z88_LARGE_DISCOUNTER</vt:lpstr>
      <vt:lpstr>Z89_TT_LIQUOR_STORE</vt:lpstr>
      <vt:lpstr>Z90_TT_NATURAL</vt:lpstr>
      <vt:lpstr>Z91_BRAND_OWNED</vt:lpstr>
      <vt:lpstr>Z92_CONCIERGE_CONV</vt:lpstr>
      <vt:lpstr>Z94_MEDIUM_GROCERY</vt:lpstr>
      <vt:lpstr>Z95_LARGE_GROCERY</vt:lpstr>
      <vt:lpstr>Z96_SF_GROCERY</vt:lpstr>
      <vt:lpstr>Z97_TT_KIOSKS</vt:lpstr>
      <vt:lpstr>Z98_TT_MINI_MARKET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Sebastian Pawłowski</cp:lastModifiedBy>
  <dcterms:created xsi:type="dcterms:W3CDTF">2022-11-08T19:00:32Z</dcterms:created>
  <dcterms:modified xsi:type="dcterms:W3CDTF">2023-03-01T21:35:30Z</dcterms:modified>
</cp:coreProperties>
</file>